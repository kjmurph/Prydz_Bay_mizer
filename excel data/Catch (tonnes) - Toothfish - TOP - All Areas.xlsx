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kmur13_uq_edu_au/Documents/Documents/GitHub/Prydz_Bay_mizer/excel data/"/>
    </mc:Choice>
  </mc:AlternateContent>
  <xr:revisionPtr revIDLastSave="16" documentId="13_ncr:40009_{38705301-1E5A-4B3D-9504-FA76151CDAEB}" xr6:coauthVersionLast="47" xr6:coauthVersionMax="47" xr10:uidLastSave="{BF319465-7406-4EBC-9916-678FA0306E61}"/>
  <bookViews>
    <workbookView xWindow="28680" yWindow="-120" windowWidth="29040" windowHeight="15720" xr2:uid="{00000000-000D-0000-FFFF-FFFF00000000}"/>
  </bookViews>
  <sheets>
    <sheet name="Catch (tonnes) - Toothfish - TO" sheetId="1" r:id="rId1"/>
    <sheet name="Divisions" sheetId="2" r:id="rId2"/>
  </sheets>
  <definedNames>
    <definedName name="_xlnm._FilterDatabase" localSheetId="0" hidden="1">'Catch (tonnes) - Toothfish - TO'!$A$1:$F$235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2" l="1"/>
  <c r="D69" i="2" s="1"/>
  <c r="E65" i="2"/>
  <c r="E69" i="2" s="1"/>
  <c r="E66" i="2"/>
  <c r="E67" i="2"/>
  <c r="D6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20" i="2"/>
  <c r="Q21" i="2"/>
  <c r="Q22" i="2"/>
  <c r="Q23" i="2"/>
  <c r="Q24" i="2"/>
  <c r="Q25" i="2"/>
  <c r="Q26" i="2"/>
  <c r="Q27" i="2"/>
  <c r="Q28" i="2"/>
  <c r="Q29" i="2"/>
  <c r="Q30" i="2"/>
  <c r="Q32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2" i="2"/>
  <c r="P2" i="2"/>
  <c r="O20" i="2"/>
  <c r="O21" i="2"/>
  <c r="O22" i="2"/>
  <c r="O23" i="2"/>
  <c r="O24" i="2"/>
  <c r="O25" i="2"/>
  <c r="O26" i="2"/>
  <c r="O27" i="2"/>
  <c r="O28" i="2"/>
  <c r="O29" i="2"/>
  <c r="O30" i="2"/>
  <c r="O32" i="2"/>
  <c r="O34" i="2"/>
  <c r="O35" i="2"/>
  <c r="O36" i="2"/>
  <c r="O37" i="2"/>
  <c r="C66" i="2" s="1"/>
  <c r="O38" i="2"/>
  <c r="O39" i="2"/>
  <c r="O40" i="2"/>
  <c r="O41" i="2"/>
  <c r="O42" i="2"/>
  <c r="O44" i="2"/>
  <c r="O45" i="2"/>
  <c r="O46" i="2"/>
  <c r="C67" i="2" s="1"/>
  <c r="O47" i="2"/>
  <c r="O4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20" i="2"/>
  <c r="P21" i="2"/>
  <c r="P22" i="2"/>
  <c r="P23" i="2"/>
  <c r="P24" i="2"/>
  <c r="P25" i="2"/>
  <c r="P26" i="2"/>
  <c r="P27" i="2"/>
  <c r="P28" i="2"/>
  <c r="P29" i="2"/>
  <c r="P30" i="2"/>
  <c r="P32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D67" i="2" s="1"/>
  <c r="P47" i="2"/>
  <c r="P48" i="2"/>
  <c r="O3" i="2"/>
  <c r="O5" i="2"/>
  <c r="O6" i="2"/>
  <c r="O9" i="2"/>
  <c r="O10" i="2"/>
  <c r="O11" i="2"/>
  <c r="O12" i="2"/>
  <c r="O13" i="2"/>
  <c r="O14" i="2"/>
  <c r="O15" i="2"/>
  <c r="O2" i="2"/>
  <c r="G26" i="2"/>
  <c r="G43" i="2"/>
  <c r="F43" i="2"/>
  <c r="O43" i="2" s="1"/>
  <c r="G8" i="2"/>
  <c r="O8" i="2" s="1"/>
  <c r="G7" i="2"/>
  <c r="O7" i="2" s="1"/>
  <c r="G6" i="2"/>
  <c r="G4" i="2"/>
  <c r="O4" i="2" s="1"/>
  <c r="F86" i="1"/>
  <c r="F88" i="1"/>
  <c r="F90" i="1"/>
  <c r="F92" i="1"/>
  <c r="F94" i="1"/>
  <c r="F102" i="1"/>
  <c r="F104" i="1"/>
  <c r="F106" i="1"/>
  <c r="F107" i="1"/>
  <c r="F108" i="1"/>
  <c r="F110" i="1"/>
  <c r="F118" i="1"/>
  <c r="F120" i="1"/>
  <c r="F122" i="1"/>
  <c r="F123" i="1"/>
  <c r="F124" i="1"/>
  <c r="F126" i="1"/>
  <c r="F134" i="1"/>
  <c r="F136" i="1"/>
  <c r="F138" i="1"/>
  <c r="F139" i="1"/>
  <c r="F140" i="1"/>
  <c r="F142" i="1"/>
  <c r="F150" i="1"/>
  <c r="F152" i="1"/>
  <c r="F154" i="1"/>
  <c r="F155" i="1"/>
  <c r="F156" i="1"/>
  <c r="J123" i="1" s="1"/>
  <c r="F158" i="1"/>
  <c r="F164" i="1"/>
  <c r="F165" i="1"/>
  <c r="F166" i="1"/>
  <c r="F167" i="1"/>
  <c r="F168" i="1"/>
  <c r="F173" i="1"/>
  <c r="F174" i="1"/>
  <c r="F180" i="1"/>
  <c r="F181" i="1"/>
  <c r="F182" i="1"/>
  <c r="F183" i="1"/>
  <c r="F184" i="1"/>
  <c r="F189" i="1"/>
  <c r="F190" i="1"/>
  <c r="F196" i="1"/>
  <c r="F197" i="1"/>
  <c r="F198" i="1"/>
  <c r="F199" i="1"/>
  <c r="F200" i="1"/>
  <c r="F205" i="1"/>
  <c r="F206" i="1"/>
  <c r="F212" i="1"/>
  <c r="F213" i="1"/>
  <c r="F214" i="1"/>
  <c r="F215" i="1"/>
  <c r="F216" i="1"/>
  <c r="F221" i="1"/>
  <c r="F222" i="1"/>
  <c r="F228" i="1"/>
  <c r="F229" i="1"/>
  <c r="F230" i="1"/>
  <c r="F231" i="1"/>
  <c r="F232" i="1"/>
  <c r="E160" i="1"/>
  <c r="F160" i="1" s="1"/>
  <c r="E161" i="1"/>
  <c r="F161" i="1" s="1"/>
  <c r="E162" i="1"/>
  <c r="F162" i="1" s="1"/>
  <c r="E163" i="1"/>
  <c r="F163" i="1" s="1"/>
  <c r="E164" i="1"/>
  <c r="E165" i="1"/>
  <c r="E166" i="1"/>
  <c r="E167" i="1"/>
  <c r="E168" i="1"/>
  <c r="E169" i="1"/>
  <c r="F169" i="1" s="1"/>
  <c r="E170" i="1"/>
  <c r="F170" i="1" s="1"/>
  <c r="E171" i="1"/>
  <c r="F171" i="1" s="1"/>
  <c r="E172" i="1"/>
  <c r="F172" i="1" s="1"/>
  <c r="E173" i="1"/>
  <c r="E174" i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E181" i="1"/>
  <c r="E182" i="1"/>
  <c r="E183" i="1"/>
  <c r="E184" i="1"/>
  <c r="E185" i="1"/>
  <c r="F185" i="1" s="1"/>
  <c r="E186" i="1"/>
  <c r="F186" i="1" s="1"/>
  <c r="E187" i="1"/>
  <c r="F187" i="1" s="1"/>
  <c r="E188" i="1"/>
  <c r="F188" i="1" s="1"/>
  <c r="E189" i="1"/>
  <c r="E190" i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E197" i="1"/>
  <c r="E198" i="1"/>
  <c r="E199" i="1"/>
  <c r="E200" i="1"/>
  <c r="E201" i="1"/>
  <c r="F201" i="1" s="1"/>
  <c r="E202" i="1"/>
  <c r="F202" i="1" s="1"/>
  <c r="E203" i="1"/>
  <c r="F203" i="1" s="1"/>
  <c r="E204" i="1"/>
  <c r="F204" i="1" s="1"/>
  <c r="E205" i="1"/>
  <c r="E206" i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E213" i="1"/>
  <c r="E214" i="1"/>
  <c r="E215" i="1"/>
  <c r="E216" i="1"/>
  <c r="E217" i="1"/>
  <c r="F217" i="1" s="1"/>
  <c r="E218" i="1"/>
  <c r="F218" i="1" s="1"/>
  <c r="E219" i="1"/>
  <c r="F219" i="1" s="1"/>
  <c r="E220" i="1"/>
  <c r="F220" i="1" s="1"/>
  <c r="E221" i="1"/>
  <c r="E222" i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E229" i="1"/>
  <c r="E230" i="1"/>
  <c r="E231" i="1"/>
  <c r="E232" i="1"/>
  <c r="E233" i="1"/>
  <c r="F233" i="1" s="1"/>
  <c r="E234" i="1"/>
  <c r="F234" i="1" s="1"/>
  <c r="E235" i="1"/>
  <c r="F235" i="1" s="1"/>
  <c r="E159" i="1"/>
  <c r="F159" i="1" s="1"/>
  <c r="E82" i="1"/>
  <c r="F82" i="1" s="1"/>
  <c r="E83" i="1"/>
  <c r="F83" i="1" s="1"/>
  <c r="E84" i="1"/>
  <c r="F84" i="1" s="1"/>
  <c r="E85" i="1"/>
  <c r="F85" i="1" s="1"/>
  <c r="E86" i="1"/>
  <c r="E87" i="1"/>
  <c r="F87" i="1" s="1"/>
  <c r="E88" i="1"/>
  <c r="E89" i="1"/>
  <c r="F89" i="1" s="1"/>
  <c r="E90" i="1"/>
  <c r="E91" i="1"/>
  <c r="F91" i="1" s="1"/>
  <c r="E92" i="1"/>
  <c r="E93" i="1"/>
  <c r="F93" i="1" s="1"/>
  <c r="E94" i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E103" i="1"/>
  <c r="F103" i="1" s="1"/>
  <c r="E104" i="1"/>
  <c r="E105" i="1"/>
  <c r="F105" i="1" s="1"/>
  <c r="E106" i="1"/>
  <c r="E107" i="1"/>
  <c r="E108" i="1"/>
  <c r="E109" i="1"/>
  <c r="F109" i="1" s="1"/>
  <c r="E110" i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E119" i="1"/>
  <c r="F119" i="1" s="1"/>
  <c r="E120" i="1"/>
  <c r="E121" i="1"/>
  <c r="F121" i="1" s="1"/>
  <c r="E122" i="1"/>
  <c r="E123" i="1"/>
  <c r="E124" i="1"/>
  <c r="E125" i="1"/>
  <c r="F125" i="1" s="1"/>
  <c r="E126" i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E135" i="1"/>
  <c r="F135" i="1" s="1"/>
  <c r="E136" i="1"/>
  <c r="E137" i="1"/>
  <c r="F137" i="1" s="1"/>
  <c r="E138" i="1"/>
  <c r="E139" i="1"/>
  <c r="E140" i="1"/>
  <c r="E141" i="1"/>
  <c r="F141" i="1" s="1"/>
  <c r="E142" i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E151" i="1"/>
  <c r="F151" i="1" s="1"/>
  <c r="E152" i="1"/>
  <c r="E153" i="1"/>
  <c r="F153" i="1" s="1"/>
  <c r="E154" i="1"/>
  <c r="E155" i="1"/>
  <c r="E156" i="1"/>
  <c r="E157" i="1"/>
  <c r="F157" i="1" s="1"/>
  <c r="E158" i="1"/>
  <c r="E81" i="1"/>
  <c r="F81" i="1" s="1"/>
  <c r="E80" i="1"/>
  <c r="F80" i="1"/>
  <c r="F6" i="1"/>
  <c r="F7" i="1"/>
  <c r="F8" i="1"/>
  <c r="F14" i="1"/>
  <c r="F15" i="1"/>
  <c r="F16" i="1"/>
  <c r="F17" i="1"/>
  <c r="F18" i="1"/>
  <c r="F22" i="1"/>
  <c r="F23" i="1"/>
  <c r="F24" i="1"/>
  <c r="F30" i="1"/>
  <c r="F31" i="1"/>
  <c r="F32" i="1"/>
  <c r="F33" i="1"/>
  <c r="F34" i="1"/>
  <c r="F38" i="1"/>
  <c r="F39" i="1"/>
  <c r="F40" i="1"/>
  <c r="F46" i="1"/>
  <c r="F47" i="1"/>
  <c r="F48" i="1"/>
  <c r="F49" i="1"/>
  <c r="F50" i="1"/>
  <c r="F54" i="1"/>
  <c r="F55" i="1"/>
  <c r="F56" i="1"/>
  <c r="F62" i="1"/>
  <c r="F63" i="1"/>
  <c r="F64" i="1"/>
  <c r="F65" i="1"/>
  <c r="F66" i="1"/>
  <c r="F70" i="1"/>
  <c r="F71" i="1"/>
  <c r="F72" i="1"/>
  <c r="F78" i="1"/>
  <c r="F79" i="1"/>
  <c r="F2" i="1"/>
  <c r="E4" i="1"/>
  <c r="F4" i="1" s="1"/>
  <c r="E5" i="1"/>
  <c r="F5" i="1" s="1"/>
  <c r="E6" i="1"/>
  <c r="E7" i="1"/>
  <c r="E8" i="1"/>
  <c r="E9" i="1"/>
  <c r="F9" i="1" s="1"/>
  <c r="E10" i="1"/>
  <c r="F10" i="1" s="1"/>
  <c r="E11" i="1"/>
  <c r="F11" i="1" s="1"/>
  <c r="E12" i="1"/>
  <c r="F12" i="1" s="1"/>
  <c r="E13" i="1"/>
  <c r="F13" i="1" s="1"/>
  <c r="E14" i="1"/>
  <c r="E15" i="1"/>
  <c r="E16" i="1"/>
  <c r="E17" i="1"/>
  <c r="E18" i="1"/>
  <c r="E19" i="1"/>
  <c r="F19" i="1" s="1"/>
  <c r="E20" i="1"/>
  <c r="F20" i="1" s="1"/>
  <c r="E21" i="1"/>
  <c r="F21" i="1" s="1"/>
  <c r="E22" i="1"/>
  <c r="E23" i="1"/>
  <c r="E24" i="1"/>
  <c r="E25" i="1"/>
  <c r="F25" i="1" s="1"/>
  <c r="E26" i="1"/>
  <c r="F26" i="1" s="1"/>
  <c r="E27" i="1"/>
  <c r="F27" i="1" s="1"/>
  <c r="E28" i="1"/>
  <c r="F28" i="1" s="1"/>
  <c r="E29" i="1"/>
  <c r="F29" i="1" s="1"/>
  <c r="E30" i="1"/>
  <c r="E31" i="1"/>
  <c r="E32" i="1"/>
  <c r="E33" i="1"/>
  <c r="E34" i="1"/>
  <c r="E35" i="1"/>
  <c r="F35" i="1" s="1"/>
  <c r="E36" i="1"/>
  <c r="F36" i="1" s="1"/>
  <c r="E37" i="1"/>
  <c r="F37" i="1" s="1"/>
  <c r="E38" i="1"/>
  <c r="E39" i="1"/>
  <c r="E40" i="1"/>
  <c r="E41" i="1"/>
  <c r="F41" i="1" s="1"/>
  <c r="E42" i="1"/>
  <c r="F42" i="1" s="1"/>
  <c r="E43" i="1"/>
  <c r="F43" i="1" s="1"/>
  <c r="E44" i="1"/>
  <c r="F44" i="1" s="1"/>
  <c r="E45" i="1"/>
  <c r="F45" i="1" s="1"/>
  <c r="E46" i="1"/>
  <c r="E47" i="1"/>
  <c r="E48" i="1"/>
  <c r="E49" i="1"/>
  <c r="E50" i="1"/>
  <c r="E51" i="1"/>
  <c r="F51" i="1" s="1"/>
  <c r="E52" i="1"/>
  <c r="F52" i="1" s="1"/>
  <c r="E53" i="1"/>
  <c r="F53" i="1" s="1"/>
  <c r="E54" i="1"/>
  <c r="E55" i="1"/>
  <c r="E56" i="1"/>
  <c r="E57" i="1"/>
  <c r="F57" i="1" s="1"/>
  <c r="E58" i="1"/>
  <c r="F58" i="1" s="1"/>
  <c r="E59" i="1"/>
  <c r="F59" i="1" s="1"/>
  <c r="E60" i="1"/>
  <c r="F60" i="1" s="1"/>
  <c r="E61" i="1"/>
  <c r="F61" i="1" s="1"/>
  <c r="E62" i="1"/>
  <c r="E63" i="1"/>
  <c r="E64" i="1"/>
  <c r="E65" i="1"/>
  <c r="E66" i="1"/>
  <c r="E67" i="1"/>
  <c r="F67" i="1" s="1"/>
  <c r="E68" i="1"/>
  <c r="F68" i="1" s="1"/>
  <c r="E69" i="1"/>
  <c r="F69" i="1" s="1"/>
  <c r="E70" i="1"/>
  <c r="E71" i="1"/>
  <c r="E72" i="1"/>
  <c r="E73" i="1"/>
  <c r="F73" i="1" s="1"/>
  <c r="E74" i="1"/>
  <c r="F74" i="1" s="1"/>
  <c r="E75" i="1"/>
  <c r="F75" i="1" s="1"/>
  <c r="E76" i="1"/>
  <c r="F76" i="1" s="1"/>
  <c r="E77" i="1"/>
  <c r="F77" i="1" s="1"/>
  <c r="E78" i="1"/>
  <c r="E79" i="1"/>
  <c r="E3" i="1"/>
  <c r="F3" i="1" s="1"/>
  <c r="E2" i="1"/>
  <c r="C65" i="2" l="1"/>
  <c r="C69" i="2" s="1"/>
</calcChain>
</file>

<file path=xl/sharedStrings.xml><?xml version="1.0" encoding="utf-8"?>
<sst xmlns="http://schemas.openxmlformats.org/spreadsheetml/2006/main" count="687" uniqueCount="31">
  <si>
    <t>CCAMLR Season</t>
  </si>
  <si>
    <t>Area 48</t>
  </si>
  <si>
    <t>Area 58</t>
  </si>
  <si>
    <t>Area 88</t>
  </si>
  <si>
    <t>Species</t>
  </si>
  <si>
    <t>Dissostichus eleginoides</t>
  </si>
  <si>
    <t>Dissostichus mawsoni</t>
  </si>
  <si>
    <t>Season</t>
  </si>
  <si>
    <t>Number of vessels</t>
  </si>
  <si>
    <t>Catch limit (tonnes)</t>
  </si>
  <si>
    <t>D. eleginoides</t>
  </si>
  <si>
    <t>D. mawsoni</t>
  </si>
  <si>
    <t>Estimated IUU catch (tonnes)</t>
  </si>
  <si>
    <t>Division</t>
  </si>
  <si>
    <t>58.4.2</t>
  </si>
  <si>
    <t>Area_km2</t>
  </si>
  <si>
    <t>NA</t>
  </si>
  <si>
    <t>Skates and rays</t>
  </si>
  <si>
    <t>Other catch</t>
  </si>
  <si>
    <r>
      <t>Macrourus</t>
    </r>
    <r>
      <rPr>
        <sz val="11"/>
        <color theme="1"/>
        <rFont val="Calibri"/>
        <family val="2"/>
        <scheme val="minor"/>
      </rPr>
      <t> spp.</t>
    </r>
  </si>
  <si>
    <t>Convention Area</t>
  </si>
  <si>
    <t>Catch_tonnes</t>
  </si>
  <si>
    <t>tonnes_km2</t>
  </si>
  <si>
    <t>quarantine</t>
  </si>
  <si>
    <t>58.4.3b</t>
  </si>
  <si>
    <t>58.4.1</t>
  </si>
  <si>
    <t>q_value_D.maw</t>
  </si>
  <si>
    <t>q_value_D.el</t>
  </si>
  <si>
    <t>Total_Toothfish_Catch_tonnes_km2</t>
  </si>
  <si>
    <t>Bathy_catch_t_km2</t>
  </si>
  <si>
    <t>Other_catch_t_km2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</si>
</sst>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rgb="FF000000"/>
      <name val="Verdana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35"/>
  <sheetViews>
    <sheetView tabSelected="1" workbookViewId="0">
      <selection activeCell="F1" sqref="F1"/>
    </sheetView>
  </sheetViews>
  <sheetFormatPr defaultColWidth="9.1796875" defaultRowHeight="14.5" x14ac:dyDescent="0.35"/>
  <cols>
    <col min="1" max="1" width="15.1796875" style="1" bestFit="1" customWidth="1"/>
    <col min="2" max="2" width="23.1796875" style="1" bestFit="1" customWidth="1"/>
    <col min="3" max="3" width="13.1796875" style="1" bestFit="1" customWidth="1"/>
    <col min="4" max="4" width="16" style="1" bestFit="1" customWidth="1"/>
    <col min="5" max="5" width="12" style="1" bestFit="1" customWidth="1"/>
    <col min="6" max="6" width="11.81640625" style="1" bestFit="1" customWidth="1"/>
    <col min="7" max="16384" width="9.1796875" style="1"/>
  </cols>
  <sheetData>
    <row r="1" spans="1:6" x14ac:dyDescent="0.35">
      <c r="A1" s="1" t="s">
        <v>0</v>
      </c>
      <c r="B1" s="1" t="s">
        <v>4</v>
      </c>
      <c r="C1" s="1" t="s">
        <v>21</v>
      </c>
      <c r="D1" s="1" t="s">
        <v>20</v>
      </c>
      <c r="E1" s="1" t="s">
        <v>15</v>
      </c>
      <c r="F1" s="1" t="s">
        <v>22</v>
      </c>
    </row>
    <row r="2" spans="1:6" hidden="1" x14ac:dyDescent="0.35">
      <c r="A2" s="1">
        <v>1977</v>
      </c>
      <c r="B2" s="1" t="s">
        <v>5</v>
      </c>
      <c r="C2" s="1">
        <v>502</v>
      </c>
      <c r="D2" s="1" t="s">
        <v>1</v>
      </c>
      <c r="E2" s="1">
        <f>658738.58+856649.73+1033248.75+944953.11+2703077.72+6446800.69</f>
        <v>12643468.580000002</v>
      </c>
      <c r="F2" s="1">
        <f>C2/E2</f>
        <v>3.9704294499856296E-5</v>
      </c>
    </row>
    <row r="3" spans="1:6" hidden="1" x14ac:dyDescent="0.35">
      <c r="A3" s="1">
        <v>1978</v>
      </c>
      <c r="B3" s="1" t="s">
        <v>5</v>
      </c>
      <c r="C3" s="1">
        <v>2146</v>
      </c>
      <c r="D3" s="1" t="s">
        <v>1</v>
      </c>
      <c r="E3" s="1">
        <f>658738.58+856649.73+1033248.75+944953.11+2703077.72+6446800.69</f>
        <v>12643468.580000002</v>
      </c>
      <c r="F3" s="1">
        <f t="shared" ref="F3:F66" si="0">C3/E3</f>
        <v>1.6973190437587972E-4</v>
      </c>
    </row>
    <row r="4" spans="1:6" hidden="1" x14ac:dyDescent="0.35">
      <c r="A4" s="1">
        <v>1979</v>
      </c>
      <c r="B4" s="1" t="s">
        <v>5</v>
      </c>
      <c r="C4" s="1">
        <v>363</v>
      </c>
      <c r="D4" s="1" t="s">
        <v>1</v>
      </c>
      <c r="E4" s="1">
        <f t="shared" ref="E4:E67" si="1">658738.58+856649.73+1033248.75+944953.11+2703077.72+6446800.69</f>
        <v>12643468.580000002</v>
      </c>
      <c r="F4" s="1">
        <f t="shared" si="0"/>
        <v>2.8710475903282542E-5</v>
      </c>
    </row>
    <row r="5" spans="1:6" hidden="1" x14ac:dyDescent="0.35">
      <c r="A5" s="1">
        <v>1980</v>
      </c>
      <c r="B5" s="1" t="s">
        <v>5</v>
      </c>
      <c r="C5" s="1">
        <v>106</v>
      </c>
      <c r="D5" s="1" t="s">
        <v>1</v>
      </c>
      <c r="E5" s="1">
        <f t="shared" si="1"/>
        <v>12643468.580000002</v>
      </c>
      <c r="F5" s="1">
        <f t="shared" si="0"/>
        <v>8.3837753326389788E-6</v>
      </c>
    </row>
    <row r="6" spans="1:6" hidden="1" x14ac:dyDescent="0.35">
      <c r="A6" s="1">
        <v>1981</v>
      </c>
      <c r="B6" s="1" t="s">
        <v>5</v>
      </c>
      <c r="C6" s="1">
        <v>258</v>
      </c>
      <c r="D6" s="1" t="s">
        <v>1</v>
      </c>
      <c r="E6" s="1">
        <f t="shared" si="1"/>
        <v>12643468.580000002</v>
      </c>
      <c r="F6" s="1">
        <f t="shared" si="0"/>
        <v>2.0405792790762799E-5</v>
      </c>
    </row>
    <row r="7" spans="1:6" hidden="1" x14ac:dyDescent="0.35">
      <c r="A7" s="1">
        <v>1982</v>
      </c>
      <c r="B7" s="1" t="s">
        <v>5</v>
      </c>
      <c r="C7" s="1">
        <v>354</v>
      </c>
      <c r="D7" s="1" t="s">
        <v>1</v>
      </c>
      <c r="E7" s="1">
        <f t="shared" si="1"/>
        <v>12643468.580000002</v>
      </c>
      <c r="F7" s="1">
        <f t="shared" si="0"/>
        <v>2.7998645922209422E-5</v>
      </c>
    </row>
    <row r="8" spans="1:6" hidden="1" x14ac:dyDescent="0.35">
      <c r="A8" s="1">
        <v>1983</v>
      </c>
      <c r="B8" s="1" t="s">
        <v>5</v>
      </c>
      <c r="C8" s="1">
        <v>218</v>
      </c>
      <c r="D8" s="1" t="s">
        <v>1</v>
      </c>
      <c r="E8" s="1">
        <f t="shared" si="1"/>
        <v>12643468.580000002</v>
      </c>
      <c r="F8" s="1">
        <f t="shared" si="0"/>
        <v>1.7242103985993371E-5</v>
      </c>
    </row>
    <row r="9" spans="1:6" hidden="1" x14ac:dyDescent="0.35">
      <c r="A9" s="1">
        <v>1984</v>
      </c>
      <c r="B9" s="1" t="s">
        <v>5</v>
      </c>
      <c r="C9" s="1">
        <v>268</v>
      </c>
      <c r="D9" s="1" t="s">
        <v>1</v>
      </c>
      <c r="E9" s="1">
        <f t="shared" si="1"/>
        <v>12643468.580000002</v>
      </c>
      <c r="F9" s="1">
        <f t="shared" si="0"/>
        <v>2.1196714991955156E-5</v>
      </c>
    </row>
    <row r="10" spans="1:6" hidden="1" x14ac:dyDescent="0.35">
      <c r="A10" s="1">
        <v>1985</v>
      </c>
      <c r="B10" s="1" t="s">
        <v>5</v>
      </c>
      <c r="C10" s="1">
        <v>530</v>
      </c>
      <c r="D10" s="1" t="s">
        <v>1</v>
      </c>
      <c r="E10" s="1">
        <f t="shared" si="1"/>
        <v>12643468.580000002</v>
      </c>
      <c r="F10" s="1">
        <f t="shared" si="0"/>
        <v>4.1918876663194899E-5</v>
      </c>
    </row>
    <row r="11" spans="1:6" hidden="1" x14ac:dyDescent="0.35">
      <c r="A11" s="1">
        <v>1986</v>
      </c>
      <c r="B11" s="1" t="s">
        <v>5</v>
      </c>
      <c r="C11" s="1">
        <v>733</v>
      </c>
      <c r="D11" s="1" t="s">
        <v>1</v>
      </c>
      <c r="E11" s="1">
        <f t="shared" si="1"/>
        <v>12643468.580000002</v>
      </c>
      <c r="F11" s="1">
        <f t="shared" si="0"/>
        <v>5.7974597347399732E-5</v>
      </c>
    </row>
    <row r="12" spans="1:6" hidden="1" x14ac:dyDescent="0.35">
      <c r="A12" s="1">
        <v>1987</v>
      </c>
      <c r="B12" s="1" t="s">
        <v>5</v>
      </c>
      <c r="C12" s="1">
        <v>1954</v>
      </c>
      <c r="D12" s="1" t="s">
        <v>1</v>
      </c>
      <c r="E12" s="1">
        <f t="shared" si="1"/>
        <v>12643468.580000002</v>
      </c>
      <c r="F12" s="1">
        <f t="shared" si="0"/>
        <v>1.5454619811298647E-4</v>
      </c>
    </row>
    <row r="13" spans="1:6" hidden="1" x14ac:dyDescent="0.35">
      <c r="A13" s="1">
        <v>1988</v>
      </c>
      <c r="B13" s="1" t="s">
        <v>5</v>
      </c>
      <c r="C13" s="1">
        <v>876</v>
      </c>
      <c r="D13" s="1" t="s">
        <v>1</v>
      </c>
      <c r="E13" s="1">
        <f t="shared" si="1"/>
        <v>12643468.580000002</v>
      </c>
      <c r="F13" s="1">
        <f t="shared" si="0"/>
        <v>6.9284784824450433E-5</v>
      </c>
    </row>
    <row r="14" spans="1:6" hidden="1" x14ac:dyDescent="0.35">
      <c r="A14" s="1">
        <v>1989</v>
      </c>
      <c r="B14" s="1" t="s">
        <v>5</v>
      </c>
      <c r="C14" s="1">
        <v>7060</v>
      </c>
      <c r="D14" s="1" t="s">
        <v>1</v>
      </c>
      <c r="E14" s="1">
        <f t="shared" si="1"/>
        <v>12643468.580000002</v>
      </c>
      <c r="F14" s="1">
        <f t="shared" si="0"/>
        <v>5.5839107404180371E-4</v>
      </c>
    </row>
    <row r="15" spans="1:6" hidden="1" x14ac:dyDescent="0.35">
      <c r="A15" s="1">
        <v>1990</v>
      </c>
      <c r="B15" s="1" t="s">
        <v>5</v>
      </c>
      <c r="C15" s="1">
        <v>6785</v>
      </c>
      <c r="D15" s="1" t="s">
        <v>1</v>
      </c>
      <c r="E15" s="1">
        <f t="shared" si="1"/>
        <v>12643468.580000002</v>
      </c>
      <c r="F15" s="1">
        <f t="shared" si="0"/>
        <v>5.3664071350901393E-4</v>
      </c>
    </row>
    <row r="16" spans="1:6" hidden="1" x14ac:dyDescent="0.35">
      <c r="A16" s="1">
        <v>1991</v>
      </c>
      <c r="B16" s="1" t="s">
        <v>5</v>
      </c>
      <c r="C16" s="1">
        <v>1756</v>
      </c>
      <c r="D16" s="1" t="s">
        <v>1</v>
      </c>
      <c r="E16" s="1">
        <f t="shared" si="1"/>
        <v>12643468.580000002</v>
      </c>
      <c r="F16" s="1">
        <f t="shared" si="0"/>
        <v>1.388859385293778E-4</v>
      </c>
    </row>
    <row r="17" spans="1:6" hidden="1" x14ac:dyDescent="0.35">
      <c r="A17" s="1">
        <v>1992</v>
      </c>
      <c r="B17" s="1" t="s">
        <v>5</v>
      </c>
      <c r="C17" s="1">
        <v>3839</v>
      </c>
      <c r="D17" s="1" t="s">
        <v>1</v>
      </c>
      <c r="E17" s="1">
        <f t="shared" si="1"/>
        <v>12643468.580000002</v>
      </c>
      <c r="F17" s="1">
        <f t="shared" si="0"/>
        <v>3.0363503303774568E-4</v>
      </c>
    </row>
    <row r="18" spans="1:6" hidden="1" x14ac:dyDescent="0.35">
      <c r="A18" s="1">
        <v>1993</v>
      </c>
      <c r="B18" s="1" t="s">
        <v>5</v>
      </c>
      <c r="C18" s="1">
        <v>3030</v>
      </c>
      <c r="D18" s="1" t="s">
        <v>1</v>
      </c>
      <c r="E18" s="1">
        <f t="shared" si="1"/>
        <v>12643468.580000002</v>
      </c>
      <c r="F18" s="1">
        <f t="shared" si="0"/>
        <v>2.3964942696128405E-4</v>
      </c>
    </row>
    <row r="19" spans="1:6" hidden="1" x14ac:dyDescent="0.35">
      <c r="A19" s="1">
        <v>1994</v>
      </c>
      <c r="B19" s="1" t="s">
        <v>5</v>
      </c>
      <c r="C19" s="1">
        <v>658</v>
      </c>
      <c r="D19" s="1" t="s">
        <v>1</v>
      </c>
      <c r="E19" s="1">
        <f t="shared" si="1"/>
        <v>12643468.580000002</v>
      </c>
      <c r="F19" s="1">
        <f t="shared" si="0"/>
        <v>5.2042680838457058E-5</v>
      </c>
    </row>
    <row r="20" spans="1:6" hidden="1" x14ac:dyDescent="0.35">
      <c r="A20" s="1">
        <v>1995</v>
      </c>
      <c r="B20" s="1" t="s">
        <v>5</v>
      </c>
      <c r="C20" s="1">
        <v>3371</v>
      </c>
      <c r="D20" s="1" t="s">
        <v>1</v>
      </c>
      <c r="E20" s="1">
        <f t="shared" si="1"/>
        <v>12643468.580000002</v>
      </c>
      <c r="F20" s="1">
        <f t="shared" si="0"/>
        <v>2.6661987402194336E-4</v>
      </c>
    </row>
    <row r="21" spans="1:6" hidden="1" x14ac:dyDescent="0.35">
      <c r="A21" s="1">
        <v>1996</v>
      </c>
      <c r="B21" s="1" t="s">
        <v>5</v>
      </c>
      <c r="C21" s="1">
        <v>3602</v>
      </c>
      <c r="D21" s="1" t="s">
        <v>1</v>
      </c>
      <c r="E21" s="1">
        <f t="shared" si="1"/>
        <v>12643468.580000002</v>
      </c>
      <c r="F21" s="1">
        <f t="shared" si="0"/>
        <v>2.8489017686948682E-4</v>
      </c>
    </row>
    <row r="22" spans="1:6" hidden="1" x14ac:dyDescent="0.35">
      <c r="A22" s="1">
        <v>1997</v>
      </c>
      <c r="B22" s="1" t="s">
        <v>5</v>
      </c>
      <c r="C22" s="1">
        <v>3812</v>
      </c>
      <c r="D22" s="1" t="s">
        <v>1</v>
      </c>
      <c r="E22" s="1">
        <f t="shared" si="1"/>
        <v>12643468.580000002</v>
      </c>
      <c r="F22" s="1">
        <f t="shared" si="0"/>
        <v>3.0149954309452632E-4</v>
      </c>
    </row>
    <row r="23" spans="1:6" hidden="1" x14ac:dyDescent="0.35">
      <c r="A23" s="1">
        <v>1998</v>
      </c>
      <c r="B23" s="1" t="s">
        <v>5</v>
      </c>
      <c r="C23" s="1">
        <v>3201</v>
      </c>
      <c r="D23" s="1" t="s">
        <v>1</v>
      </c>
      <c r="E23" s="1">
        <f t="shared" si="1"/>
        <v>12643468.580000002</v>
      </c>
      <c r="F23" s="1">
        <f t="shared" si="0"/>
        <v>2.5317419660167331E-4</v>
      </c>
    </row>
    <row r="24" spans="1:6" hidden="1" x14ac:dyDescent="0.35">
      <c r="A24" s="1">
        <v>1999</v>
      </c>
      <c r="B24" s="1" t="s">
        <v>5</v>
      </c>
      <c r="C24" s="1">
        <v>3627</v>
      </c>
      <c r="D24" s="1" t="s">
        <v>1</v>
      </c>
      <c r="E24" s="1">
        <f t="shared" si="1"/>
        <v>12643468.580000002</v>
      </c>
      <c r="F24" s="1">
        <f t="shared" si="0"/>
        <v>2.8686748237246771E-4</v>
      </c>
    </row>
    <row r="25" spans="1:6" hidden="1" x14ac:dyDescent="0.35">
      <c r="A25" s="1">
        <v>2000</v>
      </c>
      <c r="B25" s="1" t="s">
        <v>5</v>
      </c>
      <c r="C25" s="1">
        <v>4940</v>
      </c>
      <c r="D25" s="1" t="s">
        <v>1</v>
      </c>
      <c r="E25" s="1">
        <f t="shared" si="1"/>
        <v>12643468.580000002</v>
      </c>
      <c r="F25" s="1">
        <f t="shared" si="0"/>
        <v>3.9071556738902414E-4</v>
      </c>
    </row>
    <row r="26" spans="1:6" hidden="1" x14ac:dyDescent="0.35">
      <c r="A26" s="1">
        <v>2001</v>
      </c>
      <c r="B26" s="1" t="s">
        <v>5</v>
      </c>
      <c r="C26" s="1">
        <v>4047</v>
      </c>
      <c r="D26" s="1" t="s">
        <v>1</v>
      </c>
      <c r="E26" s="1">
        <f t="shared" si="1"/>
        <v>12643468.580000002</v>
      </c>
      <c r="F26" s="1">
        <f t="shared" si="0"/>
        <v>3.2008621482254671E-4</v>
      </c>
    </row>
    <row r="27" spans="1:6" hidden="1" x14ac:dyDescent="0.35">
      <c r="A27" s="1">
        <v>2002</v>
      </c>
      <c r="B27" s="1" t="s">
        <v>5</v>
      </c>
      <c r="C27" s="1">
        <v>5742</v>
      </c>
      <c r="D27" s="1" t="s">
        <v>1</v>
      </c>
      <c r="E27" s="1">
        <f t="shared" si="1"/>
        <v>12643468.580000002</v>
      </c>
      <c r="F27" s="1">
        <f t="shared" si="0"/>
        <v>4.5414752792465111E-4</v>
      </c>
    </row>
    <row r="28" spans="1:6" hidden="1" x14ac:dyDescent="0.35">
      <c r="A28" s="1">
        <v>2003</v>
      </c>
      <c r="B28" s="1" t="s">
        <v>5</v>
      </c>
      <c r="C28" s="1">
        <v>7528</v>
      </c>
      <c r="D28" s="1" t="s">
        <v>1</v>
      </c>
      <c r="E28" s="1">
        <f t="shared" si="1"/>
        <v>12643468.580000002</v>
      </c>
      <c r="F28" s="1">
        <f t="shared" si="0"/>
        <v>5.9540623305760602E-4</v>
      </c>
    </row>
    <row r="29" spans="1:6" hidden="1" x14ac:dyDescent="0.35">
      <c r="A29" s="1">
        <v>2004</v>
      </c>
      <c r="B29" s="1" t="s">
        <v>5</v>
      </c>
      <c r="C29" s="1">
        <v>4504</v>
      </c>
      <c r="D29" s="1" t="s">
        <v>1</v>
      </c>
      <c r="E29" s="1">
        <f t="shared" si="1"/>
        <v>12643468.580000002</v>
      </c>
      <c r="F29" s="1">
        <f t="shared" si="0"/>
        <v>3.562313594170374E-4</v>
      </c>
    </row>
    <row r="30" spans="1:6" hidden="1" x14ac:dyDescent="0.35">
      <c r="A30" s="1">
        <v>2005</v>
      </c>
      <c r="B30" s="1" t="s">
        <v>5</v>
      </c>
      <c r="C30" s="1">
        <v>3110</v>
      </c>
      <c r="D30" s="1" t="s">
        <v>1</v>
      </c>
      <c r="E30" s="1">
        <f t="shared" si="1"/>
        <v>12643468.580000002</v>
      </c>
      <c r="F30" s="1">
        <f t="shared" si="0"/>
        <v>2.4597680457082291E-4</v>
      </c>
    </row>
    <row r="31" spans="1:6" hidden="1" x14ac:dyDescent="0.35">
      <c r="A31" s="1">
        <v>2006</v>
      </c>
      <c r="B31" s="1" t="s">
        <v>5</v>
      </c>
      <c r="C31" s="1">
        <v>3653</v>
      </c>
      <c r="D31" s="1" t="s">
        <v>1</v>
      </c>
      <c r="E31" s="1">
        <f t="shared" si="1"/>
        <v>12643468.580000002</v>
      </c>
      <c r="F31" s="1">
        <f t="shared" si="0"/>
        <v>2.8892388009556783E-4</v>
      </c>
    </row>
    <row r="32" spans="1:6" hidden="1" x14ac:dyDescent="0.35">
      <c r="A32" s="1">
        <v>2007</v>
      </c>
      <c r="B32" s="1" t="s">
        <v>5</v>
      </c>
      <c r="C32" s="1">
        <v>3671</v>
      </c>
      <c r="D32" s="1" t="s">
        <v>1</v>
      </c>
      <c r="E32" s="1">
        <f t="shared" si="1"/>
        <v>12643468.580000002</v>
      </c>
      <c r="F32" s="1">
        <f t="shared" si="0"/>
        <v>2.9034754005771409E-4</v>
      </c>
    </row>
    <row r="33" spans="1:6" hidden="1" x14ac:dyDescent="0.35">
      <c r="A33" s="1">
        <v>2008</v>
      </c>
      <c r="B33" s="1" t="s">
        <v>5</v>
      </c>
      <c r="C33" s="1">
        <v>3974</v>
      </c>
      <c r="D33" s="1" t="s">
        <v>1</v>
      </c>
      <c r="E33" s="1">
        <f t="shared" si="1"/>
        <v>12643468.580000002</v>
      </c>
      <c r="F33" s="1">
        <f t="shared" si="0"/>
        <v>3.1431248275384251E-4</v>
      </c>
    </row>
    <row r="34" spans="1:6" hidden="1" x14ac:dyDescent="0.35">
      <c r="A34" s="1">
        <v>2009</v>
      </c>
      <c r="B34" s="1" t="s">
        <v>5</v>
      </c>
      <c r="C34" s="1">
        <v>3473</v>
      </c>
      <c r="D34" s="1" t="s">
        <v>1</v>
      </c>
      <c r="E34" s="1">
        <f t="shared" si="1"/>
        <v>12643468.580000002</v>
      </c>
      <c r="F34" s="1">
        <f t="shared" si="0"/>
        <v>2.7468728047410544E-4</v>
      </c>
    </row>
    <row r="35" spans="1:6" hidden="1" x14ac:dyDescent="0.35">
      <c r="A35" s="1">
        <v>2010</v>
      </c>
      <c r="B35" s="1" t="s">
        <v>5</v>
      </c>
      <c r="C35" s="1">
        <v>2626</v>
      </c>
      <c r="D35" s="1" t="s">
        <v>1</v>
      </c>
      <c r="E35" s="1">
        <f t="shared" si="1"/>
        <v>12643468.580000002</v>
      </c>
      <c r="F35" s="1">
        <f t="shared" si="0"/>
        <v>2.0769617003311283E-4</v>
      </c>
    </row>
    <row r="36" spans="1:6" hidden="1" x14ac:dyDescent="0.35">
      <c r="A36" s="1">
        <v>2011</v>
      </c>
      <c r="B36" s="1" t="s">
        <v>5</v>
      </c>
      <c r="C36" s="1">
        <v>1834</v>
      </c>
      <c r="D36" s="1" t="s">
        <v>1</v>
      </c>
      <c r="E36" s="1">
        <f t="shared" si="1"/>
        <v>12643468.580000002</v>
      </c>
      <c r="F36" s="1">
        <f t="shared" si="0"/>
        <v>1.4505513169867819E-4</v>
      </c>
    </row>
    <row r="37" spans="1:6" hidden="1" x14ac:dyDescent="0.35">
      <c r="A37" s="1">
        <v>2012</v>
      </c>
      <c r="B37" s="1" t="s">
        <v>5</v>
      </c>
      <c r="C37" s="1">
        <v>1867</v>
      </c>
      <c r="D37" s="1" t="s">
        <v>1</v>
      </c>
      <c r="E37" s="1">
        <f t="shared" si="1"/>
        <v>12643468.580000002</v>
      </c>
      <c r="F37" s="1">
        <f t="shared" si="0"/>
        <v>1.4766517496261298E-4</v>
      </c>
    </row>
    <row r="38" spans="1:6" hidden="1" x14ac:dyDescent="0.35">
      <c r="A38" s="1">
        <v>2013</v>
      </c>
      <c r="B38" s="1" t="s">
        <v>5</v>
      </c>
      <c r="C38" s="1">
        <v>2179</v>
      </c>
      <c r="D38" s="1" t="s">
        <v>1</v>
      </c>
      <c r="E38" s="1">
        <f t="shared" si="1"/>
        <v>12643468.580000002</v>
      </c>
      <c r="F38" s="1">
        <f t="shared" si="0"/>
        <v>1.723419476398145E-4</v>
      </c>
    </row>
    <row r="39" spans="1:6" hidden="1" x14ac:dyDescent="0.35">
      <c r="A39" s="1">
        <v>2014</v>
      </c>
      <c r="B39" s="1" t="s">
        <v>5</v>
      </c>
      <c r="C39" s="1">
        <v>2233</v>
      </c>
      <c r="D39" s="1" t="s">
        <v>1</v>
      </c>
      <c r="E39" s="1">
        <f t="shared" si="1"/>
        <v>12643468.580000002</v>
      </c>
      <c r="F39" s="1">
        <f t="shared" si="0"/>
        <v>1.7661292752625321E-4</v>
      </c>
    </row>
    <row r="40" spans="1:6" hidden="1" x14ac:dyDescent="0.35">
      <c r="A40" s="1">
        <v>2015</v>
      </c>
      <c r="B40" s="1" t="s">
        <v>5</v>
      </c>
      <c r="C40" s="1">
        <v>2242</v>
      </c>
      <c r="D40" s="1" t="s">
        <v>1</v>
      </c>
      <c r="E40" s="1">
        <f t="shared" si="1"/>
        <v>12643468.580000002</v>
      </c>
      <c r="F40" s="1">
        <f t="shared" si="0"/>
        <v>1.7732475750732634E-4</v>
      </c>
    </row>
    <row r="41" spans="1:6" hidden="1" x14ac:dyDescent="0.35">
      <c r="A41" s="1">
        <v>2016</v>
      </c>
      <c r="B41" s="1" t="s">
        <v>5</v>
      </c>
      <c r="C41" s="1">
        <v>2251</v>
      </c>
      <c r="D41" s="1" t="s">
        <v>1</v>
      </c>
      <c r="E41" s="1">
        <f t="shared" si="1"/>
        <v>12643468.580000002</v>
      </c>
      <c r="F41" s="1">
        <f t="shared" si="0"/>
        <v>1.7803658748839947E-4</v>
      </c>
    </row>
    <row r="42" spans="1:6" hidden="1" x14ac:dyDescent="0.35">
      <c r="A42" s="1">
        <v>2017</v>
      </c>
      <c r="B42" s="1" t="s">
        <v>5</v>
      </c>
      <c r="C42" s="1">
        <v>2232</v>
      </c>
      <c r="D42" s="1" t="s">
        <v>1</v>
      </c>
      <c r="E42" s="1">
        <f t="shared" si="1"/>
        <v>12643468.580000002</v>
      </c>
      <c r="F42" s="1">
        <f t="shared" si="0"/>
        <v>1.7653383530613398E-4</v>
      </c>
    </row>
    <row r="43" spans="1:6" hidden="1" x14ac:dyDescent="0.35">
      <c r="A43" s="1">
        <v>2018</v>
      </c>
      <c r="B43" s="1" t="s">
        <v>5</v>
      </c>
      <c r="C43" s="1">
        <v>1976</v>
      </c>
      <c r="D43" s="1" t="s">
        <v>1</v>
      </c>
      <c r="E43" s="1">
        <f t="shared" si="1"/>
        <v>12643468.580000002</v>
      </c>
      <c r="F43" s="1">
        <f t="shared" si="0"/>
        <v>1.5628622695560966E-4</v>
      </c>
    </row>
    <row r="44" spans="1:6" hidden="1" x14ac:dyDescent="0.35">
      <c r="A44" s="1">
        <v>2019</v>
      </c>
      <c r="B44" s="1" t="s">
        <v>5</v>
      </c>
      <c r="C44" s="1">
        <v>2149</v>
      </c>
      <c r="D44" s="1" t="s">
        <v>1</v>
      </c>
      <c r="E44" s="1">
        <f t="shared" si="1"/>
        <v>12643468.580000002</v>
      </c>
      <c r="F44" s="1">
        <f t="shared" si="0"/>
        <v>1.6996918103623742E-4</v>
      </c>
    </row>
    <row r="45" spans="1:6" hidden="1" x14ac:dyDescent="0.35">
      <c r="A45" s="1">
        <v>2020</v>
      </c>
      <c r="B45" s="1" t="s">
        <v>5</v>
      </c>
      <c r="C45" s="1">
        <v>1907</v>
      </c>
      <c r="D45" s="1" t="s">
        <v>1</v>
      </c>
      <c r="E45" s="1">
        <f t="shared" si="1"/>
        <v>12643468.580000002</v>
      </c>
      <c r="F45" s="1">
        <f t="shared" si="0"/>
        <v>1.5082886376738239E-4</v>
      </c>
    </row>
    <row r="46" spans="1:6" hidden="1" x14ac:dyDescent="0.35">
      <c r="A46" s="1">
        <v>2021</v>
      </c>
      <c r="B46" s="1" t="s">
        <v>5</v>
      </c>
      <c r="C46" s="1">
        <v>1834</v>
      </c>
      <c r="D46" s="1" t="s">
        <v>1</v>
      </c>
      <c r="E46" s="1">
        <f t="shared" si="1"/>
        <v>12643468.580000002</v>
      </c>
      <c r="F46" s="1">
        <f t="shared" si="0"/>
        <v>1.4505513169867819E-4</v>
      </c>
    </row>
    <row r="47" spans="1:6" hidden="1" x14ac:dyDescent="0.35">
      <c r="A47" s="1">
        <v>1981</v>
      </c>
      <c r="B47" s="2" t="s">
        <v>6</v>
      </c>
      <c r="C47" s="1">
        <v>0</v>
      </c>
      <c r="D47" s="1" t="s">
        <v>1</v>
      </c>
      <c r="E47" s="1">
        <f t="shared" si="1"/>
        <v>12643468.580000002</v>
      </c>
      <c r="F47" s="1">
        <f t="shared" si="0"/>
        <v>0</v>
      </c>
    </row>
    <row r="48" spans="1:6" hidden="1" x14ac:dyDescent="0.35">
      <c r="A48" s="1">
        <v>1982</v>
      </c>
      <c r="B48" s="2" t="s">
        <v>6</v>
      </c>
      <c r="C48" s="1">
        <v>0</v>
      </c>
      <c r="D48" s="1" t="s">
        <v>1</v>
      </c>
      <c r="E48" s="1">
        <f t="shared" si="1"/>
        <v>12643468.580000002</v>
      </c>
      <c r="F48" s="1">
        <f t="shared" si="0"/>
        <v>0</v>
      </c>
    </row>
    <row r="49" spans="1:6" hidden="1" x14ac:dyDescent="0.35">
      <c r="A49" s="1">
        <v>1985</v>
      </c>
      <c r="B49" s="2" t="s">
        <v>6</v>
      </c>
      <c r="C49" s="1">
        <v>0</v>
      </c>
      <c r="D49" s="1" t="s">
        <v>1</v>
      </c>
      <c r="E49" s="1">
        <f t="shared" si="1"/>
        <v>12643468.580000002</v>
      </c>
      <c r="F49" s="1">
        <f t="shared" si="0"/>
        <v>0</v>
      </c>
    </row>
    <row r="50" spans="1:6" hidden="1" x14ac:dyDescent="0.35">
      <c r="A50" s="1">
        <v>1986</v>
      </c>
      <c r="B50" s="2" t="s">
        <v>6</v>
      </c>
      <c r="C50" s="1">
        <v>0</v>
      </c>
      <c r="D50" s="1" t="s">
        <v>1</v>
      </c>
      <c r="E50" s="1">
        <f t="shared" si="1"/>
        <v>12643468.580000002</v>
      </c>
      <c r="F50" s="1">
        <f t="shared" si="0"/>
        <v>0</v>
      </c>
    </row>
    <row r="51" spans="1:6" hidden="1" x14ac:dyDescent="0.35">
      <c r="A51" s="1">
        <v>1987</v>
      </c>
      <c r="B51" s="2" t="s">
        <v>6</v>
      </c>
      <c r="C51" s="1">
        <v>0</v>
      </c>
      <c r="D51" s="1" t="s">
        <v>1</v>
      </c>
      <c r="E51" s="1">
        <f t="shared" si="1"/>
        <v>12643468.580000002</v>
      </c>
      <c r="F51" s="1">
        <f t="shared" si="0"/>
        <v>0</v>
      </c>
    </row>
    <row r="52" spans="1:6" hidden="1" x14ac:dyDescent="0.35">
      <c r="A52" s="1">
        <v>1988</v>
      </c>
      <c r="B52" s="2" t="s">
        <v>6</v>
      </c>
      <c r="C52" s="1">
        <v>0</v>
      </c>
      <c r="D52" s="1" t="s">
        <v>1</v>
      </c>
      <c r="E52" s="1">
        <f t="shared" si="1"/>
        <v>12643468.580000002</v>
      </c>
      <c r="F52" s="1">
        <f t="shared" si="0"/>
        <v>0</v>
      </c>
    </row>
    <row r="53" spans="1:6" hidden="1" x14ac:dyDescent="0.35">
      <c r="A53" s="1">
        <v>1989</v>
      </c>
      <c r="B53" s="2" t="s">
        <v>6</v>
      </c>
      <c r="C53" s="1">
        <v>0</v>
      </c>
      <c r="D53" s="1" t="s">
        <v>1</v>
      </c>
      <c r="E53" s="1">
        <f t="shared" si="1"/>
        <v>12643468.580000002</v>
      </c>
      <c r="F53" s="1">
        <f t="shared" si="0"/>
        <v>0</v>
      </c>
    </row>
    <row r="54" spans="1:6" hidden="1" x14ac:dyDescent="0.35">
      <c r="A54" s="1">
        <v>1990</v>
      </c>
      <c r="B54" s="2" t="s">
        <v>6</v>
      </c>
      <c r="C54" s="1">
        <v>0</v>
      </c>
      <c r="D54" s="1" t="s">
        <v>1</v>
      </c>
      <c r="E54" s="1">
        <f t="shared" si="1"/>
        <v>12643468.580000002</v>
      </c>
      <c r="F54" s="1">
        <f t="shared" si="0"/>
        <v>0</v>
      </c>
    </row>
    <row r="55" spans="1:6" hidden="1" x14ac:dyDescent="0.35">
      <c r="A55" s="1">
        <v>1991</v>
      </c>
      <c r="B55" s="2" t="s">
        <v>6</v>
      </c>
      <c r="C55" s="1">
        <v>0</v>
      </c>
      <c r="D55" s="1" t="s">
        <v>1</v>
      </c>
      <c r="E55" s="1">
        <f t="shared" si="1"/>
        <v>12643468.580000002</v>
      </c>
      <c r="F55" s="1">
        <f t="shared" si="0"/>
        <v>0</v>
      </c>
    </row>
    <row r="56" spans="1:6" hidden="1" x14ac:dyDescent="0.35">
      <c r="A56" s="1">
        <v>1998</v>
      </c>
      <c r="B56" s="2" t="s">
        <v>6</v>
      </c>
      <c r="C56" s="1">
        <v>1</v>
      </c>
      <c r="D56" s="1" t="s">
        <v>1</v>
      </c>
      <c r="E56" s="1">
        <f t="shared" si="1"/>
        <v>12643468.580000002</v>
      </c>
      <c r="F56" s="1">
        <f t="shared" si="0"/>
        <v>7.9092220119235658E-8</v>
      </c>
    </row>
    <row r="57" spans="1:6" hidden="1" x14ac:dyDescent="0.35">
      <c r="A57" s="1">
        <v>1999</v>
      </c>
      <c r="B57" s="2" t="s">
        <v>6</v>
      </c>
      <c r="C57" s="1">
        <v>0</v>
      </c>
      <c r="D57" s="1" t="s">
        <v>1</v>
      </c>
      <c r="E57" s="1">
        <f t="shared" si="1"/>
        <v>12643468.580000002</v>
      </c>
      <c r="F57" s="1">
        <f t="shared" si="0"/>
        <v>0</v>
      </c>
    </row>
    <row r="58" spans="1:6" hidden="1" x14ac:dyDescent="0.35">
      <c r="A58" s="1">
        <v>2000</v>
      </c>
      <c r="B58" s="2" t="s">
        <v>6</v>
      </c>
      <c r="C58" s="1">
        <v>0</v>
      </c>
      <c r="D58" s="1" t="s">
        <v>1</v>
      </c>
      <c r="E58" s="1">
        <f t="shared" si="1"/>
        <v>12643468.580000002</v>
      </c>
      <c r="F58" s="1">
        <f t="shared" si="0"/>
        <v>0</v>
      </c>
    </row>
    <row r="59" spans="1:6" hidden="1" x14ac:dyDescent="0.35">
      <c r="A59" s="1">
        <v>2001</v>
      </c>
      <c r="B59" s="2" t="s">
        <v>6</v>
      </c>
      <c r="C59" s="1">
        <v>0</v>
      </c>
      <c r="D59" s="1" t="s">
        <v>1</v>
      </c>
      <c r="E59" s="1">
        <f t="shared" si="1"/>
        <v>12643468.580000002</v>
      </c>
      <c r="F59" s="1">
        <f t="shared" si="0"/>
        <v>0</v>
      </c>
    </row>
    <row r="60" spans="1:6" hidden="1" x14ac:dyDescent="0.35">
      <c r="A60" s="1">
        <v>2002</v>
      </c>
      <c r="B60" s="2" t="s">
        <v>6</v>
      </c>
      <c r="C60" s="1">
        <v>0</v>
      </c>
      <c r="D60" s="1" t="s">
        <v>1</v>
      </c>
      <c r="E60" s="1">
        <f t="shared" si="1"/>
        <v>12643468.580000002</v>
      </c>
      <c r="F60" s="1">
        <f t="shared" si="0"/>
        <v>0</v>
      </c>
    </row>
    <row r="61" spans="1:6" hidden="1" x14ac:dyDescent="0.35">
      <c r="A61" s="1">
        <v>2003</v>
      </c>
      <c r="B61" s="2" t="s">
        <v>6</v>
      </c>
      <c r="C61" s="1">
        <v>0</v>
      </c>
      <c r="D61" s="1" t="s">
        <v>1</v>
      </c>
      <c r="E61" s="1">
        <f t="shared" si="1"/>
        <v>12643468.580000002</v>
      </c>
      <c r="F61" s="1">
        <f t="shared" si="0"/>
        <v>0</v>
      </c>
    </row>
    <row r="62" spans="1:6" hidden="1" x14ac:dyDescent="0.35">
      <c r="A62" s="1">
        <v>2004</v>
      </c>
      <c r="B62" s="2" t="s">
        <v>6</v>
      </c>
      <c r="C62" s="1">
        <v>0</v>
      </c>
      <c r="D62" s="1" t="s">
        <v>1</v>
      </c>
      <c r="E62" s="1">
        <f t="shared" si="1"/>
        <v>12643468.580000002</v>
      </c>
      <c r="F62" s="1">
        <f t="shared" si="0"/>
        <v>0</v>
      </c>
    </row>
    <row r="63" spans="1:6" hidden="1" x14ac:dyDescent="0.35">
      <c r="A63" s="1">
        <v>2005</v>
      </c>
      <c r="B63" s="2" t="s">
        <v>6</v>
      </c>
      <c r="C63" s="1">
        <v>2</v>
      </c>
      <c r="D63" s="1" t="s">
        <v>1</v>
      </c>
      <c r="E63" s="1">
        <f t="shared" si="1"/>
        <v>12643468.580000002</v>
      </c>
      <c r="F63" s="1">
        <f t="shared" si="0"/>
        <v>1.5818444023847132E-7</v>
      </c>
    </row>
    <row r="64" spans="1:6" hidden="1" x14ac:dyDescent="0.35">
      <c r="A64" s="1">
        <v>2006</v>
      </c>
      <c r="B64" s="2" t="s">
        <v>6</v>
      </c>
      <c r="C64" s="1">
        <v>63</v>
      </c>
      <c r="D64" s="1" t="s">
        <v>1</v>
      </c>
      <c r="E64" s="1">
        <f t="shared" si="1"/>
        <v>12643468.580000002</v>
      </c>
      <c r="F64" s="1">
        <f t="shared" si="0"/>
        <v>4.9828098675118462E-6</v>
      </c>
    </row>
    <row r="65" spans="1:6" hidden="1" x14ac:dyDescent="0.35">
      <c r="A65" s="1">
        <v>2007</v>
      </c>
      <c r="B65" s="2" t="s">
        <v>6</v>
      </c>
      <c r="C65" s="1">
        <v>34</v>
      </c>
      <c r="D65" s="1" t="s">
        <v>1</v>
      </c>
      <c r="E65" s="1">
        <f t="shared" si="1"/>
        <v>12643468.580000002</v>
      </c>
      <c r="F65" s="1">
        <f t="shared" si="0"/>
        <v>2.6891354840540121E-6</v>
      </c>
    </row>
    <row r="66" spans="1:6" hidden="1" x14ac:dyDescent="0.35">
      <c r="A66" s="1">
        <v>2008</v>
      </c>
      <c r="B66" s="2" t="s">
        <v>6</v>
      </c>
      <c r="C66" s="1">
        <v>11</v>
      </c>
      <c r="D66" s="1" t="s">
        <v>1</v>
      </c>
      <c r="E66" s="1">
        <f t="shared" si="1"/>
        <v>12643468.580000002</v>
      </c>
      <c r="F66" s="1">
        <f t="shared" si="0"/>
        <v>8.7001442131159223E-7</v>
      </c>
    </row>
    <row r="67" spans="1:6" hidden="1" x14ac:dyDescent="0.35">
      <c r="A67" s="1">
        <v>2009</v>
      </c>
      <c r="B67" s="2" t="s">
        <v>6</v>
      </c>
      <c r="C67" s="1">
        <v>324</v>
      </c>
      <c r="D67" s="1" t="s">
        <v>1</v>
      </c>
      <c r="E67" s="1">
        <f t="shared" si="1"/>
        <v>12643468.580000002</v>
      </c>
      <c r="F67" s="1">
        <f t="shared" ref="F67:F130" si="2">C67/E67</f>
        <v>2.5625879318632352E-5</v>
      </c>
    </row>
    <row r="68" spans="1:6" hidden="1" x14ac:dyDescent="0.35">
      <c r="A68" s="1">
        <v>2010</v>
      </c>
      <c r="B68" s="2" t="s">
        <v>6</v>
      </c>
      <c r="C68" s="1">
        <v>398</v>
      </c>
      <c r="D68" s="1" t="s">
        <v>1</v>
      </c>
      <c r="E68" s="1">
        <f t="shared" ref="E68:E79" si="3">658738.58+856649.73+1033248.75+944953.11+2703077.72+6446800.69</f>
        <v>12643468.580000002</v>
      </c>
      <c r="F68" s="1">
        <f t="shared" si="2"/>
        <v>3.1478703607455793E-5</v>
      </c>
    </row>
    <row r="69" spans="1:6" hidden="1" x14ac:dyDescent="0.35">
      <c r="A69" s="1">
        <v>2011</v>
      </c>
      <c r="B69" s="2" t="s">
        <v>6</v>
      </c>
      <c r="C69" s="1">
        <v>374</v>
      </c>
      <c r="D69" s="1" t="s">
        <v>1</v>
      </c>
      <c r="E69" s="1">
        <f t="shared" si="3"/>
        <v>12643468.580000002</v>
      </c>
      <c r="F69" s="1">
        <f t="shared" si="2"/>
        <v>2.9580490324594133E-5</v>
      </c>
    </row>
    <row r="70" spans="1:6" hidden="1" x14ac:dyDescent="0.35">
      <c r="A70" s="1">
        <v>2012</v>
      </c>
      <c r="B70" s="2" t="s">
        <v>6</v>
      </c>
      <c r="C70" s="1">
        <v>399</v>
      </c>
      <c r="D70" s="1" t="s">
        <v>1</v>
      </c>
      <c r="E70" s="1">
        <f t="shared" si="3"/>
        <v>12643468.580000002</v>
      </c>
      <c r="F70" s="1">
        <f t="shared" si="2"/>
        <v>3.1557795827575026E-5</v>
      </c>
    </row>
    <row r="71" spans="1:6" hidden="1" x14ac:dyDescent="0.35">
      <c r="A71" s="1">
        <v>2013</v>
      </c>
      <c r="B71" s="2" t="s">
        <v>6</v>
      </c>
      <c r="C71" s="1">
        <v>375</v>
      </c>
      <c r="D71" s="1" t="s">
        <v>1</v>
      </c>
      <c r="E71" s="1">
        <f t="shared" si="3"/>
        <v>12643468.580000002</v>
      </c>
      <c r="F71" s="1">
        <f t="shared" si="2"/>
        <v>2.965958254471337E-5</v>
      </c>
    </row>
    <row r="72" spans="1:6" hidden="1" x14ac:dyDescent="0.35">
      <c r="A72" s="1">
        <v>2014</v>
      </c>
      <c r="B72" s="2" t="s">
        <v>6</v>
      </c>
      <c r="C72" s="1">
        <v>398</v>
      </c>
      <c r="D72" s="1" t="s">
        <v>1</v>
      </c>
      <c r="E72" s="1">
        <f t="shared" si="3"/>
        <v>12643468.580000002</v>
      </c>
      <c r="F72" s="1">
        <f t="shared" si="2"/>
        <v>3.1478703607455793E-5</v>
      </c>
    </row>
    <row r="73" spans="1:6" hidden="1" x14ac:dyDescent="0.35">
      <c r="A73" s="1">
        <v>2015</v>
      </c>
      <c r="B73" s="2" t="s">
        <v>6</v>
      </c>
      <c r="C73" s="1">
        <v>247</v>
      </c>
      <c r="D73" s="1" t="s">
        <v>1</v>
      </c>
      <c r="E73" s="1">
        <f t="shared" si="3"/>
        <v>12643468.580000002</v>
      </c>
      <c r="F73" s="1">
        <f t="shared" si="2"/>
        <v>1.9535778369451208E-5</v>
      </c>
    </row>
    <row r="74" spans="1:6" hidden="1" x14ac:dyDescent="0.35">
      <c r="A74" s="1">
        <v>2016</v>
      </c>
      <c r="B74" s="2" t="s">
        <v>6</v>
      </c>
      <c r="C74" s="1">
        <v>332</v>
      </c>
      <c r="D74" s="1" t="s">
        <v>1</v>
      </c>
      <c r="E74" s="1">
        <f t="shared" si="3"/>
        <v>12643468.580000002</v>
      </c>
      <c r="F74" s="1">
        <f t="shared" si="2"/>
        <v>2.6258617079586236E-5</v>
      </c>
    </row>
    <row r="75" spans="1:6" hidden="1" x14ac:dyDescent="0.35">
      <c r="A75" s="1">
        <v>2017</v>
      </c>
      <c r="B75" s="2" t="s">
        <v>6</v>
      </c>
      <c r="C75" s="1">
        <v>538</v>
      </c>
      <c r="D75" s="1" t="s">
        <v>1</v>
      </c>
      <c r="E75" s="1">
        <f t="shared" si="3"/>
        <v>12643468.580000002</v>
      </c>
      <c r="F75" s="1">
        <f t="shared" si="2"/>
        <v>4.255161442414878E-5</v>
      </c>
    </row>
    <row r="76" spans="1:6" hidden="1" x14ac:dyDescent="0.35">
      <c r="A76" s="1">
        <v>2018</v>
      </c>
      <c r="B76" s="2" t="s">
        <v>6</v>
      </c>
      <c r="C76" s="1">
        <v>618</v>
      </c>
      <c r="D76" s="1" t="s">
        <v>1</v>
      </c>
      <c r="E76" s="1">
        <f t="shared" si="3"/>
        <v>12643468.580000002</v>
      </c>
      <c r="F76" s="1">
        <f t="shared" si="2"/>
        <v>4.8878992033687634E-5</v>
      </c>
    </row>
    <row r="77" spans="1:6" hidden="1" x14ac:dyDescent="0.35">
      <c r="A77" s="1">
        <v>2019</v>
      </c>
      <c r="B77" s="2" t="s">
        <v>6</v>
      </c>
      <c r="C77" s="1">
        <v>485</v>
      </c>
      <c r="D77" s="1" t="s">
        <v>1</v>
      </c>
      <c r="E77" s="1">
        <f t="shared" si="3"/>
        <v>12643468.580000002</v>
      </c>
      <c r="F77" s="1">
        <f t="shared" si="2"/>
        <v>3.8359726757829294E-5</v>
      </c>
    </row>
    <row r="78" spans="1:6" hidden="1" x14ac:dyDescent="0.35">
      <c r="A78" s="1">
        <v>2020</v>
      </c>
      <c r="B78" s="2" t="s">
        <v>6</v>
      </c>
      <c r="C78" s="1">
        <v>392</v>
      </c>
      <c r="D78" s="1" t="s">
        <v>1</v>
      </c>
      <c r="E78" s="1">
        <f t="shared" si="3"/>
        <v>12643468.580000002</v>
      </c>
      <c r="F78" s="1">
        <f t="shared" si="2"/>
        <v>3.1004150286740379E-5</v>
      </c>
    </row>
    <row r="79" spans="1:6" hidden="1" x14ac:dyDescent="0.35">
      <c r="A79" s="1">
        <v>2021</v>
      </c>
      <c r="B79" s="2" t="s">
        <v>6</v>
      </c>
      <c r="C79" s="1">
        <v>408</v>
      </c>
      <c r="D79" s="1" t="s">
        <v>1</v>
      </c>
      <c r="E79" s="1">
        <f t="shared" si="3"/>
        <v>12643468.580000002</v>
      </c>
      <c r="F79" s="1">
        <f t="shared" si="2"/>
        <v>3.2269625808648147E-5</v>
      </c>
    </row>
    <row r="80" spans="1:6" hidden="1" x14ac:dyDescent="0.35">
      <c r="A80" s="1">
        <v>1977</v>
      </c>
      <c r="B80" s="1" t="s">
        <v>5</v>
      </c>
      <c r="C80" s="1">
        <v>21</v>
      </c>
      <c r="D80" s="1" t="s">
        <v>2</v>
      </c>
      <c r="E80" s="1">
        <f>4640106.71+1585062.37+505531.76+679900.44+1081605.35+1414398.1+1090146.81+643318.78+669888.99+586148.56</f>
        <v>12896107.869999999</v>
      </c>
      <c r="F80" s="1">
        <f t="shared" si="2"/>
        <v>1.6283982897546902E-6</v>
      </c>
    </row>
    <row r="81" spans="1:6" hidden="1" x14ac:dyDescent="0.35">
      <c r="A81" s="1">
        <v>1978</v>
      </c>
      <c r="B81" s="1" t="s">
        <v>5</v>
      </c>
      <c r="C81" s="1">
        <v>633</v>
      </c>
      <c r="D81" s="1" t="s">
        <v>2</v>
      </c>
      <c r="E81" s="1">
        <f>4640106.71+1585062.37+505531.76+679900.44+1081605.35+1414398.1+1090146.81+643318.78+669888.99+586148.56</f>
        <v>12896107.869999999</v>
      </c>
      <c r="F81" s="1">
        <f t="shared" si="2"/>
        <v>4.9084577019748524E-5</v>
      </c>
    </row>
    <row r="82" spans="1:6" hidden="1" x14ac:dyDescent="0.35">
      <c r="A82" s="1">
        <v>1979</v>
      </c>
      <c r="B82" s="1" t="s">
        <v>5</v>
      </c>
      <c r="C82" s="1">
        <v>32</v>
      </c>
      <c r="D82" s="1" t="s">
        <v>2</v>
      </c>
      <c r="E82" s="1">
        <f t="shared" ref="E82:E145" si="4">4640106.71+1585062.37+505531.76+679900.44+1081605.35+1414398.1+1090146.81+643318.78+669888.99+586148.56</f>
        <v>12896107.869999999</v>
      </c>
      <c r="F82" s="1">
        <f t="shared" si="2"/>
        <v>2.4813688224833376E-6</v>
      </c>
    </row>
    <row r="83" spans="1:6" hidden="1" x14ac:dyDescent="0.35">
      <c r="A83" s="1">
        <v>1980</v>
      </c>
      <c r="B83" s="1" t="s">
        <v>5</v>
      </c>
      <c r="C83" s="1">
        <v>142</v>
      </c>
      <c r="D83" s="1" t="s">
        <v>2</v>
      </c>
      <c r="E83" s="1">
        <f t="shared" si="4"/>
        <v>12896107.869999999</v>
      </c>
      <c r="F83" s="1">
        <f t="shared" si="2"/>
        <v>1.101107414976981E-5</v>
      </c>
    </row>
    <row r="84" spans="1:6" hidden="1" x14ac:dyDescent="0.35">
      <c r="A84" s="1">
        <v>1981</v>
      </c>
      <c r="B84" s="1" t="s">
        <v>5</v>
      </c>
      <c r="C84" s="1">
        <v>123</v>
      </c>
      <c r="D84" s="1" t="s">
        <v>2</v>
      </c>
      <c r="E84" s="1">
        <f t="shared" si="4"/>
        <v>12896107.869999999</v>
      </c>
      <c r="F84" s="1">
        <f t="shared" si="2"/>
        <v>9.5377614114203285E-6</v>
      </c>
    </row>
    <row r="85" spans="1:6" hidden="1" x14ac:dyDescent="0.35">
      <c r="A85" s="1">
        <v>1982</v>
      </c>
      <c r="B85" s="1" t="s">
        <v>5</v>
      </c>
      <c r="C85" s="1">
        <v>138</v>
      </c>
      <c r="D85" s="1" t="s">
        <v>2</v>
      </c>
      <c r="E85" s="1">
        <f t="shared" si="4"/>
        <v>12896107.869999999</v>
      </c>
      <c r="F85" s="1">
        <f t="shared" si="2"/>
        <v>1.0700903046959392E-5</v>
      </c>
    </row>
    <row r="86" spans="1:6" hidden="1" x14ac:dyDescent="0.35">
      <c r="A86" s="1">
        <v>1983</v>
      </c>
      <c r="B86" s="1" t="s">
        <v>5</v>
      </c>
      <c r="C86" s="1">
        <v>164</v>
      </c>
      <c r="D86" s="1" t="s">
        <v>2</v>
      </c>
      <c r="E86" s="1">
        <f t="shared" si="4"/>
        <v>12896107.869999999</v>
      </c>
      <c r="F86" s="1">
        <f t="shared" si="2"/>
        <v>1.2717015215227104E-5</v>
      </c>
    </row>
    <row r="87" spans="1:6" hidden="1" x14ac:dyDescent="0.35">
      <c r="A87" s="1">
        <v>1984</v>
      </c>
      <c r="B87" s="1" t="s">
        <v>5</v>
      </c>
      <c r="C87" s="1">
        <v>4738</v>
      </c>
      <c r="D87" s="1" t="s">
        <v>2</v>
      </c>
      <c r="E87" s="1">
        <f t="shared" si="4"/>
        <v>12896107.869999999</v>
      </c>
      <c r="F87" s="1">
        <f t="shared" si="2"/>
        <v>3.6739767127893917E-4</v>
      </c>
    </row>
    <row r="88" spans="1:6" hidden="1" x14ac:dyDescent="0.35">
      <c r="A88" s="1">
        <v>1985</v>
      </c>
      <c r="B88" s="1" t="s">
        <v>5</v>
      </c>
      <c r="C88" s="1">
        <v>2455</v>
      </c>
      <c r="D88" s="1" t="s">
        <v>2</v>
      </c>
      <c r="E88" s="1">
        <f t="shared" si="4"/>
        <v>12896107.869999999</v>
      </c>
      <c r="F88" s="1">
        <f t="shared" si="2"/>
        <v>1.9036751434989356E-4</v>
      </c>
    </row>
    <row r="89" spans="1:6" hidden="1" x14ac:dyDescent="0.35">
      <c r="A89" s="1">
        <v>1986</v>
      </c>
      <c r="B89" s="1" t="s">
        <v>5</v>
      </c>
      <c r="C89" s="1">
        <v>2472</v>
      </c>
      <c r="D89" s="1" t="s">
        <v>2</v>
      </c>
      <c r="E89" s="1">
        <f t="shared" si="4"/>
        <v>12896107.869999999</v>
      </c>
      <c r="F89" s="1">
        <f t="shared" si="2"/>
        <v>1.9168574153683783E-4</v>
      </c>
    </row>
    <row r="90" spans="1:6" hidden="1" x14ac:dyDescent="0.35">
      <c r="A90" s="1">
        <v>1987</v>
      </c>
      <c r="B90" s="1" t="s">
        <v>5</v>
      </c>
      <c r="C90" s="1">
        <v>1819</v>
      </c>
      <c r="D90" s="1" t="s">
        <v>2</v>
      </c>
      <c r="E90" s="1">
        <f t="shared" si="4"/>
        <v>12896107.869999999</v>
      </c>
      <c r="F90" s="1">
        <f t="shared" si="2"/>
        <v>1.4105030900303723E-4</v>
      </c>
    </row>
    <row r="91" spans="1:6" hidden="1" x14ac:dyDescent="0.35">
      <c r="A91" s="1">
        <v>1988</v>
      </c>
      <c r="B91" s="1" t="s">
        <v>5</v>
      </c>
      <c r="C91" s="1">
        <v>917</v>
      </c>
      <c r="D91" s="1" t="s">
        <v>2</v>
      </c>
      <c r="E91" s="1">
        <f t="shared" si="4"/>
        <v>12896107.869999999</v>
      </c>
      <c r="F91" s="1">
        <f t="shared" si="2"/>
        <v>7.1106725319288144E-5</v>
      </c>
    </row>
    <row r="92" spans="1:6" hidden="1" x14ac:dyDescent="0.35">
      <c r="A92" s="1">
        <v>1989</v>
      </c>
      <c r="B92" s="1" t="s">
        <v>5</v>
      </c>
      <c r="C92" s="1">
        <v>1348</v>
      </c>
      <c r="D92" s="1" t="s">
        <v>2</v>
      </c>
      <c r="E92" s="1">
        <f t="shared" si="4"/>
        <v>12896107.869999999</v>
      </c>
      <c r="F92" s="1">
        <f t="shared" si="2"/>
        <v>1.0452766164711059E-4</v>
      </c>
    </row>
    <row r="93" spans="1:6" hidden="1" x14ac:dyDescent="0.35">
      <c r="A93" s="1">
        <v>1990</v>
      </c>
      <c r="B93" s="1" t="s">
        <v>5</v>
      </c>
      <c r="C93" s="1">
        <v>1250</v>
      </c>
      <c r="D93" s="1" t="s">
        <v>2</v>
      </c>
      <c r="E93" s="1">
        <f t="shared" si="4"/>
        <v>12896107.869999999</v>
      </c>
      <c r="F93" s="1">
        <f t="shared" si="2"/>
        <v>9.6928469628255369E-5</v>
      </c>
    </row>
    <row r="94" spans="1:6" hidden="1" x14ac:dyDescent="0.35">
      <c r="A94" s="1">
        <v>1991</v>
      </c>
      <c r="B94" s="1" t="s">
        <v>5</v>
      </c>
      <c r="C94" s="1">
        <v>3037</v>
      </c>
      <c r="D94" s="1" t="s">
        <v>2</v>
      </c>
      <c r="E94" s="1">
        <f t="shared" si="4"/>
        <v>12896107.869999999</v>
      </c>
      <c r="F94" s="1">
        <f t="shared" si="2"/>
        <v>2.3549740980880924E-4</v>
      </c>
    </row>
    <row r="95" spans="1:6" hidden="1" x14ac:dyDescent="0.35">
      <c r="A95" s="1">
        <v>1992</v>
      </c>
      <c r="B95" s="1" t="s">
        <v>5</v>
      </c>
      <c r="C95" s="1">
        <v>7758</v>
      </c>
      <c r="D95" s="1" t="s">
        <v>2</v>
      </c>
      <c r="E95" s="1">
        <f t="shared" si="4"/>
        <v>12896107.869999999</v>
      </c>
      <c r="F95" s="1">
        <f t="shared" si="2"/>
        <v>6.0157685390080417E-4</v>
      </c>
    </row>
    <row r="96" spans="1:6" hidden="1" x14ac:dyDescent="0.35">
      <c r="A96" s="1">
        <v>1993</v>
      </c>
      <c r="B96" s="1" t="s">
        <v>5</v>
      </c>
      <c r="C96" s="1">
        <v>3597</v>
      </c>
      <c r="D96" s="1" t="s">
        <v>2</v>
      </c>
      <c r="E96" s="1">
        <f t="shared" si="4"/>
        <v>12896107.869999999</v>
      </c>
      <c r="F96" s="1">
        <f t="shared" si="2"/>
        <v>2.7892136420226764E-4</v>
      </c>
    </row>
    <row r="97" spans="1:6" hidden="1" x14ac:dyDescent="0.35">
      <c r="A97" s="1">
        <v>1994</v>
      </c>
      <c r="B97" s="1" t="s">
        <v>5</v>
      </c>
      <c r="C97" s="1">
        <v>5437</v>
      </c>
      <c r="D97" s="1" t="s">
        <v>2</v>
      </c>
      <c r="E97" s="1">
        <f t="shared" si="4"/>
        <v>12896107.869999999</v>
      </c>
      <c r="F97" s="1">
        <f t="shared" si="2"/>
        <v>4.2160007149505955E-4</v>
      </c>
    </row>
    <row r="98" spans="1:6" hidden="1" x14ac:dyDescent="0.35">
      <c r="A98" s="1">
        <v>1995</v>
      </c>
      <c r="B98" s="1" t="s">
        <v>5</v>
      </c>
      <c r="C98" s="1">
        <v>5711</v>
      </c>
      <c r="D98" s="1" t="s">
        <v>2</v>
      </c>
      <c r="E98" s="1">
        <f t="shared" si="4"/>
        <v>12896107.869999999</v>
      </c>
      <c r="F98" s="1">
        <f t="shared" si="2"/>
        <v>4.4284679203757316E-4</v>
      </c>
    </row>
    <row r="99" spans="1:6" hidden="1" x14ac:dyDescent="0.35">
      <c r="A99" s="1">
        <v>1996</v>
      </c>
      <c r="B99" s="1" t="s">
        <v>5</v>
      </c>
      <c r="C99" s="1">
        <v>5655</v>
      </c>
      <c r="D99" s="1" t="s">
        <v>2</v>
      </c>
      <c r="E99" s="1">
        <f t="shared" si="4"/>
        <v>12896107.869999999</v>
      </c>
      <c r="F99" s="1">
        <f t="shared" si="2"/>
        <v>4.3850439659822728E-4</v>
      </c>
    </row>
    <row r="100" spans="1:6" hidden="1" x14ac:dyDescent="0.35">
      <c r="A100" s="1">
        <v>1997</v>
      </c>
      <c r="B100" s="1" t="s">
        <v>5</v>
      </c>
      <c r="C100" s="1">
        <v>8645</v>
      </c>
      <c r="D100" s="1" t="s">
        <v>2</v>
      </c>
      <c r="E100" s="1">
        <f t="shared" si="4"/>
        <v>12896107.869999999</v>
      </c>
      <c r="F100" s="1">
        <f t="shared" si="2"/>
        <v>6.7035729594901411E-4</v>
      </c>
    </row>
    <row r="101" spans="1:6" hidden="1" x14ac:dyDescent="0.35">
      <c r="A101" s="1">
        <v>1998</v>
      </c>
      <c r="B101" s="1" t="s">
        <v>5</v>
      </c>
      <c r="C101" s="1">
        <v>10169</v>
      </c>
      <c r="D101" s="1" t="s">
        <v>2</v>
      </c>
      <c r="E101" s="1">
        <f t="shared" si="4"/>
        <v>12896107.869999999</v>
      </c>
      <c r="F101" s="1">
        <f t="shared" si="2"/>
        <v>7.8853248611978309E-4</v>
      </c>
    </row>
    <row r="102" spans="1:6" hidden="1" x14ac:dyDescent="0.35">
      <c r="A102" s="1">
        <v>1999</v>
      </c>
      <c r="B102" s="1" t="s">
        <v>5</v>
      </c>
      <c r="C102" s="1">
        <v>9730</v>
      </c>
      <c r="D102" s="1" t="s">
        <v>2</v>
      </c>
      <c r="E102" s="1">
        <f t="shared" si="4"/>
        <v>12896107.869999999</v>
      </c>
      <c r="F102" s="1">
        <f t="shared" si="2"/>
        <v>7.5449120758633987E-4</v>
      </c>
    </row>
    <row r="103" spans="1:6" hidden="1" x14ac:dyDescent="0.35">
      <c r="A103" s="1">
        <v>2000</v>
      </c>
      <c r="B103" s="1" t="s">
        <v>5</v>
      </c>
      <c r="C103" s="1">
        <v>11972</v>
      </c>
      <c r="D103" s="1" t="s">
        <v>2</v>
      </c>
      <c r="E103" s="1">
        <f t="shared" si="4"/>
        <v>12896107.869999999</v>
      </c>
      <c r="F103" s="1">
        <f t="shared" si="2"/>
        <v>9.2834211071157865E-4</v>
      </c>
    </row>
    <row r="104" spans="1:6" hidden="1" x14ac:dyDescent="0.35">
      <c r="A104" s="1">
        <v>2001</v>
      </c>
      <c r="B104" s="1" t="s">
        <v>5</v>
      </c>
      <c r="C104" s="1">
        <v>9097</v>
      </c>
      <c r="D104" s="1" t="s">
        <v>2</v>
      </c>
      <c r="E104" s="1">
        <f t="shared" si="4"/>
        <v>12896107.869999999</v>
      </c>
      <c r="F104" s="1">
        <f t="shared" si="2"/>
        <v>7.0540663056659135E-4</v>
      </c>
    </row>
    <row r="105" spans="1:6" hidden="1" x14ac:dyDescent="0.35">
      <c r="A105" s="1">
        <v>2002</v>
      </c>
      <c r="B105" s="1" t="s">
        <v>5</v>
      </c>
      <c r="C105" s="1">
        <v>8233</v>
      </c>
      <c r="D105" s="1" t="s">
        <v>2</v>
      </c>
      <c r="E105" s="1">
        <f t="shared" si="4"/>
        <v>12896107.869999999</v>
      </c>
      <c r="F105" s="1">
        <f t="shared" si="2"/>
        <v>6.3840967235954114E-4</v>
      </c>
    </row>
    <row r="106" spans="1:6" hidden="1" x14ac:dyDescent="0.35">
      <c r="A106" s="1">
        <v>2003</v>
      </c>
      <c r="B106" s="1" t="s">
        <v>5</v>
      </c>
      <c r="C106" s="1">
        <v>8925</v>
      </c>
      <c r="D106" s="1" t="s">
        <v>2</v>
      </c>
      <c r="E106" s="1">
        <f t="shared" si="4"/>
        <v>12896107.869999999</v>
      </c>
      <c r="F106" s="1">
        <f t="shared" si="2"/>
        <v>6.9206927314574335E-4</v>
      </c>
    </row>
    <row r="107" spans="1:6" hidden="1" x14ac:dyDescent="0.35">
      <c r="A107" s="1">
        <v>2004</v>
      </c>
      <c r="B107" s="1" t="s">
        <v>5</v>
      </c>
      <c r="C107" s="1">
        <v>8777</v>
      </c>
      <c r="D107" s="1" t="s">
        <v>2</v>
      </c>
      <c r="E107" s="1">
        <f t="shared" si="4"/>
        <v>12896107.869999999</v>
      </c>
      <c r="F107" s="1">
        <f t="shared" si="2"/>
        <v>6.8059294234175795E-4</v>
      </c>
    </row>
    <row r="108" spans="1:6" x14ac:dyDescent="0.35">
      <c r="A108" s="1">
        <v>2005</v>
      </c>
      <c r="B108" s="1" t="s">
        <v>5</v>
      </c>
      <c r="C108" s="1">
        <v>8696</v>
      </c>
      <c r="D108" s="1" t="s">
        <v>2</v>
      </c>
      <c r="E108" s="1">
        <f t="shared" si="4"/>
        <v>12896107.869999999</v>
      </c>
      <c r="F108" s="1">
        <f t="shared" si="2"/>
        <v>6.7431197750984697E-4</v>
      </c>
    </row>
    <row r="109" spans="1:6" x14ac:dyDescent="0.35">
      <c r="A109" s="1">
        <v>2006</v>
      </c>
      <c r="B109" s="1" t="s">
        <v>5</v>
      </c>
      <c r="C109" s="1">
        <v>8741</v>
      </c>
      <c r="D109" s="1" t="s">
        <v>2</v>
      </c>
      <c r="E109" s="1">
        <f t="shared" si="4"/>
        <v>12896107.869999999</v>
      </c>
      <c r="F109" s="1">
        <f t="shared" si="2"/>
        <v>6.778014024164642E-4</v>
      </c>
    </row>
    <row r="110" spans="1:6" x14ac:dyDescent="0.35">
      <c r="A110" s="1">
        <v>2007</v>
      </c>
      <c r="B110" s="1" t="s">
        <v>5</v>
      </c>
      <c r="C110" s="1">
        <v>8344</v>
      </c>
      <c r="D110" s="1" t="s">
        <v>2</v>
      </c>
      <c r="E110" s="1">
        <f t="shared" si="4"/>
        <v>12896107.869999999</v>
      </c>
      <c r="F110" s="1">
        <f t="shared" si="2"/>
        <v>6.4701692046253024E-4</v>
      </c>
    </row>
    <row r="111" spans="1:6" x14ac:dyDescent="0.35">
      <c r="A111" s="1">
        <v>2008</v>
      </c>
      <c r="B111" s="1" t="s">
        <v>5</v>
      </c>
      <c r="C111" s="1">
        <v>8205</v>
      </c>
      <c r="D111" s="1" t="s">
        <v>2</v>
      </c>
      <c r="E111" s="1">
        <f t="shared" si="4"/>
        <v>12896107.869999999</v>
      </c>
      <c r="F111" s="1">
        <f t="shared" si="2"/>
        <v>6.3623847463986822E-4</v>
      </c>
    </row>
    <row r="112" spans="1:6" x14ac:dyDescent="0.35">
      <c r="A112" s="1">
        <v>2009</v>
      </c>
      <c r="B112" s="1" t="s">
        <v>5</v>
      </c>
      <c r="C112" s="1">
        <v>8676</v>
      </c>
      <c r="D112" s="1" t="s">
        <v>2</v>
      </c>
      <c r="E112" s="1">
        <f t="shared" si="4"/>
        <v>12896107.869999999</v>
      </c>
      <c r="F112" s="1">
        <f t="shared" si="2"/>
        <v>6.7276112199579489E-4</v>
      </c>
    </row>
    <row r="113" spans="1:10" x14ac:dyDescent="0.35">
      <c r="A113" s="1">
        <v>2010</v>
      </c>
      <c r="B113" s="1" t="s">
        <v>5</v>
      </c>
      <c r="C113" s="1">
        <v>8486</v>
      </c>
      <c r="D113" s="1" t="s">
        <v>2</v>
      </c>
      <c r="E113" s="1">
        <f t="shared" si="4"/>
        <v>12896107.869999999</v>
      </c>
      <c r="F113" s="1">
        <f t="shared" si="2"/>
        <v>6.5802799461230012E-4</v>
      </c>
    </row>
    <row r="114" spans="1:10" hidden="1" x14ac:dyDescent="0.35">
      <c r="A114" s="1">
        <v>2011</v>
      </c>
      <c r="B114" s="1" t="s">
        <v>5</v>
      </c>
      <c r="C114" s="1">
        <v>8668</v>
      </c>
      <c r="D114" s="1" t="s">
        <v>2</v>
      </c>
      <c r="E114" s="1">
        <f t="shared" si="4"/>
        <v>12896107.869999999</v>
      </c>
      <c r="F114" s="1">
        <f t="shared" si="2"/>
        <v>6.7214077979017405E-4</v>
      </c>
    </row>
    <row r="115" spans="1:10" hidden="1" x14ac:dyDescent="0.35">
      <c r="A115" s="1">
        <v>2012</v>
      </c>
      <c r="B115" s="1" t="s">
        <v>5</v>
      </c>
      <c r="C115" s="1">
        <v>8612</v>
      </c>
      <c r="D115" s="1" t="s">
        <v>2</v>
      </c>
      <c r="E115" s="1">
        <f t="shared" si="4"/>
        <v>12896107.869999999</v>
      </c>
      <c r="F115" s="1">
        <f t="shared" si="2"/>
        <v>6.6779838435082823E-4</v>
      </c>
    </row>
    <row r="116" spans="1:10" hidden="1" x14ac:dyDescent="0.35">
      <c r="A116" s="1">
        <v>2013</v>
      </c>
      <c r="B116" s="1" t="s">
        <v>5</v>
      </c>
      <c r="C116" s="1">
        <v>9086</v>
      </c>
      <c r="D116" s="1" t="s">
        <v>2</v>
      </c>
      <c r="E116" s="1">
        <f t="shared" si="4"/>
        <v>12896107.869999999</v>
      </c>
      <c r="F116" s="1">
        <f t="shared" si="2"/>
        <v>7.0455366003386265E-4</v>
      </c>
    </row>
    <row r="117" spans="1:10" hidden="1" x14ac:dyDescent="0.35">
      <c r="A117" s="1">
        <v>2014</v>
      </c>
      <c r="B117" s="1" t="s">
        <v>5</v>
      </c>
      <c r="C117" s="1">
        <v>9530</v>
      </c>
      <c r="D117" s="1" t="s">
        <v>2</v>
      </c>
      <c r="E117" s="1">
        <f t="shared" si="4"/>
        <v>12896107.869999999</v>
      </c>
      <c r="F117" s="1">
        <f t="shared" si="2"/>
        <v>7.3898265244581895E-4</v>
      </c>
    </row>
    <row r="118" spans="1:10" hidden="1" x14ac:dyDescent="0.35">
      <c r="A118" s="1">
        <v>2015</v>
      </c>
      <c r="B118" s="1" t="s">
        <v>5</v>
      </c>
      <c r="C118" s="1">
        <v>9816</v>
      </c>
      <c r="D118" s="1" t="s">
        <v>2</v>
      </c>
      <c r="E118" s="1">
        <f t="shared" si="4"/>
        <v>12896107.869999999</v>
      </c>
      <c r="F118" s="1">
        <f t="shared" si="2"/>
        <v>7.6115988629676381E-4</v>
      </c>
    </row>
    <row r="119" spans="1:10" hidden="1" x14ac:dyDescent="0.35">
      <c r="A119" s="1">
        <v>2016</v>
      </c>
      <c r="B119" s="1" t="s">
        <v>5</v>
      </c>
      <c r="C119" s="1">
        <v>9654</v>
      </c>
      <c r="D119" s="1" t="s">
        <v>2</v>
      </c>
      <c r="E119" s="1">
        <f t="shared" si="4"/>
        <v>12896107.869999999</v>
      </c>
      <c r="F119" s="1">
        <f t="shared" si="2"/>
        <v>7.4859795663294185E-4</v>
      </c>
    </row>
    <row r="120" spans="1:10" hidden="1" x14ac:dyDescent="0.35">
      <c r="A120" s="1">
        <v>2017</v>
      </c>
      <c r="B120" s="1" t="s">
        <v>5</v>
      </c>
      <c r="C120" s="1">
        <v>9702</v>
      </c>
      <c r="D120" s="1" t="s">
        <v>2</v>
      </c>
      <c r="E120" s="1">
        <f t="shared" si="4"/>
        <v>12896107.869999999</v>
      </c>
      <c r="F120" s="1">
        <f t="shared" si="2"/>
        <v>7.5232000986666684E-4</v>
      </c>
    </row>
    <row r="121" spans="1:10" hidden="1" x14ac:dyDescent="0.35">
      <c r="A121" s="1">
        <v>2018</v>
      </c>
      <c r="B121" s="1" t="s">
        <v>5</v>
      </c>
      <c r="C121" s="1">
        <v>9443</v>
      </c>
      <c r="D121" s="1" t="s">
        <v>2</v>
      </c>
      <c r="E121" s="1">
        <f t="shared" si="4"/>
        <v>12896107.869999999</v>
      </c>
      <c r="F121" s="1">
        <f t="shared" si="2"/>
        <v>7.3223643095969234E-4</v>
      </c>
    </row>
    <row r="122" spans="1:10" hidden="1" x14ac:dyDescent="0.35">
      <c r="A122" s="1">
        <v>2019</v>
      </c>
      <c r="B122" s="1" t="s">
        <v>5</v>
      </c>
      <c r="C122" s="1">
        <v>9774</v>
      </c>
      <c r="D122" s="1" t="s">
        <v>2</v>
      </c>
      <c r="E122" s="1">
        <f t="shared" si="4"/>
        <v>12896107.869999999</v>
      </c>
      <c r="F122" s="1">
        <f t="shared" si="2"/>
        <v>7.5790308971725444E-4</v>
      </c>
    </row>
    <row r="123" spans="1:10" hidden="1" x14ac:dyDescent="0.35">
      <c r="A123" s="1">
        <v>2020</v>
      </c>
      <c r="B123" s="1" t="s">
        <v>5</v>
      </c>
      <c r="C123" s="1">
        <v>9258</v>
      </c>
      <c r="D123" s="1" t="s">
        <v>2</v>
      </c>
      <c r="E123" s="1">
        <f t="shared" si="4"/>
        <v>12896107.869999999</v>
      </c>
      <c r="F123" s="1">
        <f t="shared" si="2"/>
        <v>7.1789101745471054E-4</v>
      </c>
      <c r="J123" s="1">
        <f>F123+F156</f>
        <v>7.2238849844546158E-4</v>
      </c>
    </row>
    <row r="124" spans="1:10" hidden="1" x14ac:dyDescent="0.35">
      <c r="A124" s="1">
        <v>2021</v>
      </c>
      <c r="B124" s="1" t="s">
        <v>5</v>
      </c>
      <c r="C124" s="1">
        <v>9232</v>
      </c>
      <c r="D124" s="1" t="s">
        <v>2</v>
      </c>
      <c r="E124" s="1">
        <f t="shared" si="4"/>
        <v>12896107.869999999</v>
      </c>
      <c r="F124" s="1">
        <f t="shared" si="2"/>
        <v>7.1587490528644284E-4</v>
      </c>
    </row>
    <row r="125" spans="1:10" hidden="1" x14ac:dyDescent="0.35">
      <c r="A125" s="1">
        <v>1981</v>
      </c>
      <c r="B125" s="2" t="s">
        <v>6</v>
      </c>
      <c r="C125" s="1">
        <v>0</v>
      </c>
      <c r="D125" s="1" t="s">
        <v>2</v>
      </c>
      <c r="E125" s="1">
        <f t="shared" si="4"/>
        <v>12896107.869999999</v>
      </c>
      <c r="F125" s="1">
        <f t="shared" si="2"/>
        <v>0</v>
      </c>
    </row>
    <row r="126" spans="1:10" hidden="1" x14ac:dyDescent="0.35">
      <c r="A126" s="1">
        <v>1982</v>
      </c>
      <c r="B126" s="2" t="s">
        <v>6</v>
      </c>
      <c r="C126" s="1">
        <v>0</v>
      </c>
      <c r="D126" s="1" t="s">
        <v>2</v>
      </c>
      <c r="E126" s="1">
        <f t="shared" si="4"/>
        <v>12896107.869999999</v>
      </c>
      <c r="F126" s="1">
        <f t="shared" si="2"/>
        <v>0</v>
      </c>
    </row>
    <row r="127" spans="1:10" hidden="1" x14ac:dyDescent="0.35">
      <c r="A127" s="1">
        <v>1985</v>
      </c>
      <c r="B127" s="2" t="s">
        <v>6</v>
      </c>
      <c r="C127" s="1">
        <v>0</v>
      </c>
      <c r="D127" s="1" t="s">
        <v>2</v>
      </c>
      <c r="E127" s="1">
        <f t="shared" si="4"/>
        <v>12896107.869999999</v>
      </c>
      <c r="F127" s="1">
        <f t="shared" si="2"/>
        <v>0</v>
      </c>
    </row>
    <row r="128" spans="1:10" hidden="1" x14ac:dyDescent="0.35">
      <c r="A128" s="1">
        <v>1986</v>
      </c>
      <c r="B128" s="2" t="s">
        <v>6</v>
      </c>
      <c r="C128" s="1">
        <v>0</v>
      </c>
      <c r="D128" s="1" t="s">
        <v>2</v>
      </c>
      <c r="E128" s="1">
        <f t="shared" si="4"/>
        <v>12896107.869999999</v>
      </c>
      <c r="F128" s="1">
        <f t="shared" si="2"/>
        <v>0</v>
      </c>
    </row>
    <row r="129" spans="1:6" hidden="1" x14ac:dyDescent="0.35">
      <c r="A129" s="1">
        <v>1987</v>
      </c>
      <c r="B129" s="2" t="s">
        <v>6</v>
      </c>
      <c r="C129" s="1">
        <v>0</v>
      </c>
      <c r="D129" s="1" t="s">
        <v>2</v>
      </c>
      <c r="E129" s="1">
        <f t="shared" si="4"/>
        <v>12896107.869999999</v>
      </c>
      <c r="F129" s="1">
        <f t="shared" si="2"/>
        <v>0</v>
      </c>
    </row>
    <row r="130" spans="1:6" hidden="1" x14ac:dyDescent="0.35">
      <c r="A130" s="1">
        <v>1988</v>
      </c>
      <c r="B130" s="2" t="s">
        <v>6</v>
      </c>
      <c r="C130" s="1">
        <v>0</v>
      </c>
      <c r="D130" s="1" t="s">
        <v>2</v>
      </c>
      <c r="E130" s="1">
        <f t="shared" si="4"/>
        <v>12896107.869999999</v>
      </c>
      <c r="F130" s="1">
        <f t="shared" si="2"/>
        <v>0</v>
      </c>
    </row>
    <row r="131" spans="1:6" hidden="1" x14ac:dyDescent="0.35">
      <c r="A131" s="1">
        <v>1989</v>
      </c>
      <c r="B131" s="2" t="s">
        <v>6</v>
      </c>
      <c r="C131" s="1">
        <v>0</v>
      </c>
      <c r="D131" s="1" t="s">
        <v>2</v>
      </c>
      <c r="E131" s="1">
        <f t="shared" si="4"/>
        <v>12896107.869999999</v>
      </c>
      <c r="F131" s="1">
        <f t="shared" ref="F131:F194" si="5">C131/E131</f>
        <v>0</v>
      </c>
    </row>
    <row r="132" spans="1:6" hidden="1" x14ac:dyDescent="0.35">
      <c r="A132" s="1">
        <v>1990</v>
      </c>
      <c r="B132" s="2" t="s">
        <v>6</v>
      </c>
      <c r="C132" s="1">
        <v>1</v>
      </c>
      <c r="D132" s="1" t="s">
        <v>2</v>
      </c>
      <c r="E132" s="1">
        <f t="shared" si="4"/>
        <v>12896107.869999999</v>
      </c>
      <c r="F132" s="1">
        <f t="shared" si="5"/>
        <v>7.75427757026043E-8</v>
      </c>
    </row>
    <row r="133" spans="1:6" hidden="1" x14ac:dyDescent="0.35">
      <c r="A133" s="1">
        <v>1991</v>
      </c>
      <c r="B133" s="2" t="s">
        <v>6</v>
      </c>
      <c r="C133" s="1">
        <v>0</v>
      </c>
      <c r="D133" s="1" t="s">
        <v>2</v>
      </c>
      <c r="E133" s="1">
        <f t="shared" si="4"/>
        <v>12896107.869999999</v>
      </c>
      <c r="F133" s="1">
        <f t="shared" si="5"/>
        <v>0</v>
      </c>
    </row>
    <row r="134" spans="1:6" hidden="1" x14ac:dyDescent="0.35">
      <c r="A134" s="1">
        <v>1998</v>
      </c>
      <c r="B134" s="2" t="s">
        <v>6</v>
      </c>
      <c r="C134" s="1">
        <v>0</v>
      </c>
      <c r="D134" s="1" t="s">
        <v>2</v>
      </c>
      <c r="E134" s="1">
        <f t="shared" si="4"/>
        <v>12896107.869999999</v>
      </c>
      <c r="F134" s="1">
        <f t="shared" si="5"/>
        <v>0</v>
      </c>
    </row>
    <row r="135" spans="1:6" hidden="1" x14ac:dyDescent="0.35">
      <c r="A135" s="1">
        <v>1999</v>
      </c>
      <c r="B135" s="2" t="s">
        <v>6</v>
      </c>
      <c r="C135" s="1">
        <v>0</v>
      </c>
      <c r="D135" s="1" t="s">
        <v>2</v>
      </c>
      <c r="E135" s="1">
        <f t="shared" si="4"/>
        <v>12896107.869999999</v>
      </c>
      <c r="F135" s="1">
        <f t="shared" si="5"/>
        <v>0</v>
      </c>
    </row>
    <row r="136" spans="1:6" hidden="1" x14ac:dyDescent="0.35">
      <c r="A136" s="1">
        <v>2000</v>
      </c>
      <c r="B136" s="2" t="s">
        <v>6</v>
      </c>
      <c r="C136" s="1">
        <v>0</v>
      </c>
      <c r="D136" s="1" t="s">
        <v>2</v>
      </c>
      <c r="E136" s="1">
        <f t="shared" si="4"/>
        <v>12896107.869999999</v>
      </c>
      <c r="F136" s="1">
        <f t="shared" si="5"/>
        <v>0</v>
      </c>
    </row>
    <row r="137" spans="1:6" hidden="1" x14ac:dyDescent="0.35">
      <c r="A137" s="1">
        <v>2001</v>
      </c>
      <c r="B137" s="2" t="s">
        <v>6</v>
      </c>
      <c r="C137" s="1">
        <v>0</v>
      </c>
      <c r="D137" s="1" t="s">
        <v>2</v>
      </c>
      <c r="E137" s="1">
        <f t="shared" si="4"/>
        <v>12896107.869999999</v>
      </c>
      <c r="F137" s="1">
        <f t="shared" si="5"/>
        <v>0</v>
      </c>
    </row>
    <row r="138" spans="1:6" hidden="1" x14ac:dyDescent="0.35">
      <c r="A138" s="1">
        <v>2002</v>
      </c>
      <c r="B138" s="2" t="s">
        <v>6</v>
      </c>
      <c r="C138" s="1">
        <v>0</v>
      </c>
      <c r="D138" s="1" t="s">
        <v>2</v>
      </c>
      <c r="E138" s="1">
        <f t="shared" si="4"/>
        <v>12896107.869999999</v>
      </c>
      <c r="F138" s="1">
        <f t="shared" si="5"/>
        <v>0</v>
      </c>
    </row>
    <row r="139" spans="1:6" hidden="1" x14ac:dyDescent="0.35">
      <c r="A139" s="1">
        <v>2003</v>
      </c>
      <c r="B139" s="2" t="s">
        <v>6</v>
      </c>
      <c r="C139" s="1">
        <v>117</v>
      </c>
      <c r="D139" s="1" t="s">
        <v>2</v>
      </c>
      <c r="E139" s="1">
        <f t="shared" si="4"/>
        <v>12896107.869999999</v>
      </c>
      <c r="F139" s="1">
        <f t="shared" si="5"/>
        <v>9.0725047572047026E-6</v>
      </c>
    </row>
    <row r="140" spans="1:6" hidden="1" x14ac:dyDescent="0.35">
      <c r="A140" s="1">
        <v>2004</v>
      </c>
      <c r="B140" s="2" t="s">
        <v>6</v>
      </c>
      <c r="C140" s="1">
        <v>26</v>
      </c>
      <c r="D140" s="1" t="s">
        <v>2</v>
      </c>
      <c r="E140" s="1">
        <f t="shared" si="4"/>
        <v>12896107.869999999</v>
      </c>
      <c r="F140" s="1">
        <f t="shared" si="5"/>
        <v>2.0161121682677117E-6</v>
      </c>
    </row>
    <row r="141" spans="1:6" x14ac:dyDescent="0.35">
      <c r="A141" s="1">
        <v>2005</v>
      </c>
      <c r="B141" s="2" t="s">
        <v>6</v>
      </c>
      <c r="C141" s="1">
        <v>910</v>
      </c>
      <c r="D141" s="1" t="s">
        <v>2</v>
      </c>
      <c r="E141" s="1">
        <f t="shared" si="4"/>
        <v>12896107.869999999</v>
      </c>
      <c r="F141" s="1">
        <f t="shared" si="5"/>
        <v>7.0563925889369916E-5</v>
      </c>
    </row>
    <row r="142" spans="1:6" x14ac:dyDescent="0.35">
      <c r="A142" s="1">
        <v>2006</v>
      </c>
      <c r="B142" s="2" t="s">
        <v>6</v>
      </c>
      <c r="C142" s="1">
        <v>902</v>
      </c>
      <c r="D142" s="1" t="s">
        <v>2</v>
      </c>
      <c r="E142" s="1">
        <f t="shared" si="4"/>
        <v>12896107.869999999</v>
      </c>
      <c r="F142" s="1">
        <f t="shared" si="5"/>
        <v>6.994358368374907E-5</v>
      </c>
    </row>
    <row r="143" spans="1:6" x14ac:dyDescent="0.35">
      <c r="A143" s="1">
        <v>2007</v>
      </c>
      <c r="B143" s="2" t="s">
        <v>6</v>
      </c>
      <c r="C143" s="1">
        <v>841</v>
      </c>
      <c r="D143" s="1" t="s">
        <v>2</v>
      </c>
      <c r="E143" s="1">
        <f t="shared" si="4"/>
        <v>12896107.869999999</v>
      </c>
      <c r="F143" s="1">
        <f t="shared" si="5"/>
        <v>6.521347436589021E-5</v>
      </c>
    </row>
    <row r="144" spans="1:6" x14ac:dyDescent="0.35">
      <c r="A144" s="1">
        <v>2008</v>
      </c>
      <c r="B144" s="2" t="s">
        <v>6</v>
      </c>
      <c r="C144" s="1">
        <v>727</v>
      </c>
      <c r="D144" s="1" t="s">
        <v>2</v>
      </c>
      <c r="E144" s="1">
        <f t="shared" si="4"/>
        <v>12896107.869999999</v>
      </c>
      <c r="F144" s="1">
        <f t="shared" si="5"/>
        <v>5.6373597935793323E-5</v>
      </c>
    </row>
    <row r="145" spans="1:6" x14ac:dyDescent="0.35">
      <c r="A145" s="1">
        <v>2009</v>
      </c>
      <c r="B145" s="2" t="s">
        <v>6</v>
      </c>
      <c r="C145" s="1">
        <v>377</v>
      </c>
      <c r="D145" s="1" t="s">
        <v>2</v>
      </c>
      <c r="E145" s="1">
        <f t="shared" si="4"/>
        <v>12896107.869999999</v>
      </c>
      <c r="F145" s="1">
        <f t="shared" si="5"/>
        <v>2.923362643988182E-5</v>
      </c>
    </row>
    <row r="146" spans="1:6" x14ac:dyDescent="0.35">
      <c r="A146" s="1">
        <v>2010</v>
      </c>
      <c r="B146" s="2" t="s">
        <v>6</v>
      </c>
      <c r="C146" s="1">
        <v>299</v>
      </c>
      <c r="D146" s="1" t="s">
        <v>2</v>
      </c>
      <c r="E146" s="1">
        <f t="shared" ref="E146:E157" si="6">4640106.71+1585062.37+505531.76+679900.44+1081605.35+1414398.1+1090146.81+643318.78+669888.99+586148.56</f>
        <v>12896107.869999999</v>
      </c>
      <c r="F146" s="1">
        <f t="shared" si="5"/>
        <v>2.3185289935078684E-5</v>
      </c>
    </row>
    <row r="147" spans="1:6" hidden="1" x14ac:dyDescent="0.35">
      <c r="A147" s="1">
        <v>2011</v>
      </c>
      <c r="B147" s="2" t="s">
        <v>6</v>
      </c>
      <c r="C147" s="1">
        <v>358</v>
      </c>
      <c r="D147" s="1" t="s">
        <v>2</v>
      </c>
      <c r="E147" s="1">
        <f t="shared" si="6"/>
        <v>12896107.869999999</v>
      </c>
      <c r="F147" s="1">
        <f t="shared" si="5"/>
        <v>2.7760313701532339E-5</v>
      </c>
    </row>
    <row r="148" spans="1:6" hidden="1" x14ac:dyDescent="0.35">
      <c r="A148" s="1">
        <v>2012</v>
      </c>
      <c r="B148" s="2" t="s">
        <v>6</v>
      </c>
      <c r="C148" s="1">
        <v>215</v>
      </c>
      <c r="D148" s="1" t="s">
        <v>2</v>
      </c>
      <c r="E148" s="1">
        <f t="shared" si="6"/>
        <v>12896107.869999999</v>
      </c>
      <c r="F148" s="1">
        <f t="shared" si="5"/>
        <v>1.6671696776059925E-5</v>
      </c>
    </row>
    <row r="149" spans="1:6" hidden="1" x14ac:dyDescent="0.35">
      <c r="A149" s="1">
        <v>2013</v>
      </c>
      <c r="B149" s="2" t="s">
        <v>6</v>
      </c>
      <c r="C149" s="1">
        <v>52</v>
      </c>
      <c r="D149" s="1" t="s">
        <v>2</v>
      </c>
      <c r="E149" s="1">
        <f t="shared" si="6"/>
        <v>12896107.869999999</v>
      </c>
      <c r="F149" s="1">
        <f t="shared" si="5"/>
        <v>4.0322243365354234E-6</v>
      </c>
    </row>
    <row r="150" spans="1:6" hidden="1" x14ac:dyDescent="0.35">
      <c r="A150" s="1">
        <v>2014</v>
      </c>
      <c r="B150" s="2" t="s">
        <v>6</v>
      </c>
      <c r="C150" s="1">
        <v>101</v>
      </c>
      <c r="D150" s="1" t="s">
        <v>2</v>
      </c>
      <c r="E150" s="1">
        <f t="shared" si="6"/>
        <v>12896107.869999999</v>
      </c>
      <c r="F150" s="1">
        <f t="shared" si="5"/>
        <v>7.8318203459630347E-6</v>
      </c>
    </row>
    <row r="151" spans="1:6" hidden="1" x14ac:dyDescent="0.35">
      <c r="A151" s="1">
        <v>2015</v>
      </c>
      <c r="B151" s="2" t="s">
        <v>6</v>
      </c>
      <c r="C151" s="1">
        <v>133</v>
      </c>
      <c r="D151" s="1" t="s">
        <v>2</v>
      </c>
      <c r="E151" s="1">
        <f t="shared" si="6"/>
        <v>12896107.869999999</v>
      </c>
      <c r="F151" s="1">
        <f t="shared" si="5"/>
        <v>1.0313189168446372E-5</v>
      </c>
    </row>
    <row r="152" spans="1:6" hidden="1" x14ac:dyDescent="0.35">
      <c r="A152" s="1">
        <v>2016</v>
      </c>
      <c r="B152" s="2" t="s">
        <v>6</v>
      </c>
      <c r="C152" s="1">
        <v>403</v>
      </c>
      <c r="D152" s="1" t="s">
        <v>2</v>
      </c>
      <c r="E152" s="1">
        <f t="shared" si="6"/>
        <v>12896107.869999999</v>
      </c>
      <c r="F152" s="1">
        <f t="shared" si="5"/>
        <v>3.1249738608149535E-5</v>
      </c>
    </row>
    <row r="153" spans="1:6" hidden="1" x14ac:dyDescent="0.35">
      <c r="A153" s="1">
        <v>2017</v>
      </c>
      <c r="B153" s="2" t="s">
        <v>6</v>
      </c>
      <c r="C153" s="1">
        <v>244</v>
      </c>
      <c r="D153" s="1" t="s">
        <v>2</v>
      </c>
      <c r="E153" s="1">
        <f t="shared" si="6"/>
        <v>12896107.869999999</v>
      </c>
      <c r="F153" s="1">
        <f t="shared" si="5"/>
        <v>1.8920437271435449E-5</v>
      </c>
    </row>
    <row r="154" spans="1:6" hidden="1" x14ac:dyDescent="0.35">
      <c r="A154" s="1">
        <v>2018</v>
      </c>
      <c r="B154" s="2" t="s">
        <v>6</v>
      </c>
      <c r="C154" s="1">
        <v>308</v>
      </c>
      <c r="D154" s="1" t="s">
        <v>2</v>
      </c>
      <c r="E154" s="1">
        <f t="shared" si="6"/>
        <v>12896107.869999999</v>
      </c>
      <c r="F154" s="1">
        <f t="shared" si="5"/>
        <v>2.3883174916402124E-5</v>
      </c>
    </row>
    <row r="155" spans="1:6" hidden="1" x14ac:dyDescent="0.35">
      <c r="A155" s="1">
        <v>2019</v>
      </c>
      <c r="B155" s="2" t="s">
        <v>6</v>
      </c>
      <c r="C155" s="1">
        <v>52</v>
      </c>
      <c r="D155" s="1" t="s">
        <v>2</v>
      </c>
      <c r="E155" s="1">
        <f t="shared" si="6"/>
        <v>12896107.869999999</v>
      </c>
      <c r="F155" s="1">
        <f t="shared" si="5"/>
        <v>4.0322243365354234E-6</v>
      </c>
    </row>
    <row r="156" spans="1:6" hidden="1" x14ac:dyDescent="0.35">
      <c r="A156" s="1">
        <v>2020</v>
      </c>
      <c r="B156" s="2" t="s">
        <v>6</v>
      </c>
      <c r="C156" s="1">
        <v>58</v>
      </c>
      <c r="D156" s="1" t="s">
        <v>2</v>
      </c>
      <c r="E156" s="1">
        <f t="shared" si="6"/>
        <v>12896107.869999999</v>
      </c>
      <c r="F156" s="1">
        <f t="shared" si="5"/>
        <v>4.4974809907510493E-6</v>
      </c>
    </row>
    <row r="157" spans="1:6" hidden="1" x14ac:dyDescent="0.35">
      <c r="A157" s="1">
        <v>2021</v>
      </c>
      <c r="B157" s="2" t="s">
        <v>6</v>
      </c>
      <c r="C157" s="1">
        <v>61</v>
      </c>
      <c r="D157" s="1" t="s">
        <v>2</v>
      </c>
      <c r="E157" s="1">
        <f t="shared" si="6"/>
        <v>12896107.869999999</v>
      </c>
      <c r="F157" s="1">
        <f t="shared" si="5"/>
        <v>4.7301093178588622E-6</v>
      </c>
    </row>
    <row r="158" spans="1:6" hidden="1" x14ac:dyDescent="0.35">
      <c r="A158" s="1">
        <v>1977</v>
      </c>
      <c r="B158" s="1" t="s">
        <v>5</v>
      </c>
      <c r="C158" s="1">
        <v>0</v>
      </c>
      <c r="D158" s="1" t="s">
        <v>3</v>
      </c>
      <c r="E158" s="1">
        <f>3046141.51+5002840.68+2335727.01</f>
        <v>10384709.199999999</v>
      </c>
      <c r="F158" s="1">
        <f t="shared" si="5"/>
        <v>0</v>
      </c>
    </row>
    <row r="159" spans="1:6" hidden="1" x14ac:dyDescent="0.35">
      <c r="A159" s="1">
        <v>1978</v>
      </c>
      <c r="B159" s="1" t="s">
        <v>5</v>
      </c>
      <c r="C159" s="1">
        <v>0</v>
      </c>
      <c r="D159" s="1" t="s">
        <v>3</v>
      </c>
      <c r="E159" s="1">
        <f>3046141.51+5002840.68+2335727.01</f>
        <v>10384709.199999999</v>
      </c>
      <c r="F159" s="1">
        <f t="shared" si="5"/>
        <v>0</v>
      </c>
    </row>
    <row r="160" spans="1:6" hidden="1" x14ac:dyDescent="0.35">
      <c r="A160" s="1">
        <v>1979</v>
      </c>
      <c r="B160" s="1" t="s">
        <v>5</v>
      </c>
      <c r="C160" s="1">
        <v>0</v>
      </c>
      <c r="D160" s="1" t="s">
        <v>3</v>
      </c>
      <c r="E160" s="1">
        <f t="shared" ref="E160:E223" si="7">3046141.51+5002840.68+2335727.01</f>
        <v>10384709.199999999</v>
      </c>
      <c r="F160" s="1">
        <f t="shared" si="5"/>
        <v>0</v>
      </c>
    </row>
    <row r="161" spans="1:6" hidden="1" x14ac:dyDescent="0.35">
      <c r="A161" s="1">
        <v>1980</v>
      </c>
      <c r="B161" s="1" t="s">
        <v>5</v>
      </c>
      <c r="C161" s="1">
        <v>0</v>
      </c>
      <c r="D161" s="1" t="s">
        <v>3</v>
      </c>
      <c r="E161" s="1">
        <f t="shared" si="7"/>
        <v>10384709.199999999</v>
      </c>
      <c r="F161" s="1">
        <f t="shared" si="5"/>
        <v>0</v>
      </c>
    </row>
    <row r="162" spans="1:6" hidden="1" x14ac:dyDescent="0.35">
      <c r="A162" s="1">
        <v>1981</v>
      </c>
      <c r="B162" s="1" t="s">
        <v>5</v>
      </c>
      <c r="C162" s="1">
        <v>0</v>
      </c>
      <c r="D162" s="1" t="s">
        <v>3</v>
      </c>
      <c r="E162" s="1">
        <f t="shared" si="7"/>
        <v>10384709.199999999</v>
      </c>
      <c r="F162" s="1">
        <f t="shared" si="5"/>
        <v>0</v>
      </c>
    </row>
    <row r="163" spans="1:6" hidden="1" x14ac:dyDescent="0.35">
      <c r="A163" s="1">
        <v>1982</v>
      </c>
      <c r="B163" s="1" t="s">
        <v>5</v>
      </c>
      <c r="C163" s="1">
        <v>0</v>
      </c>
      <c r="D163" s="1" t="s">
        <v>3</v>
      </c>
      <c r="E163" s="1">
        <f t="shared" si="7"/>
        <v>10384709.199999999</v>
      </c>
      <c r="F163" s="1">
        <f t="shared" si="5"/>
        <v>0</v>
      </c>
    </row>
    <row r="164" spans="1:6" hidden="1" x14ac:dyDescent="0.35">
      <c r="A164" s="1">
        <v>1983</v>
      </c>
      <c r="B164" s="1" t="s">
        <v>5</v>
      </c>
      <c r="C164" s="1">
        <v>0</v>
      </c>
      <c r="D164" s="1" t="s">
        <v>3</v>
      </c>
      <c r="E164" s="1">
        <f t="shared" si="7"/>
        <v>10384709.199999999</v>
      </c>
      <c r="F164" s="1">
        <f t="shared" si="5"/>
        <v>0</v>
      </c>
    </row>
    <row r="165" spans="1:6" hidden="1" x14ac:dyDescent="0.35">
      <c r="A165" s="1">
        <v>1984</v>
      </c>
      <c r="B165" s="1" t="s">
        <v>5</v>
      </c>
      <c r="C165" s="1">
        <v>0</v>
      </c>
      <c r="D165" s="1" t="s">
        <v>3</v>
      </c>
      <c r="E165" s="1">
        <f t="shared" si="7"/>
        <v>10384709.199999999</v>
      </c>
      <c r="F165" s="1">
        <f t="shared" si="5"/>
        <v>0</v>
      </c>
    </row>
    <row r="166" spans="1:6" hidden="1" x14ac:dyDescent="0.35">
      <c r="A166" s="1">
        <v>1985</v>
      </c>
      <c r="B166" s="1" t="s">
        <v>5</v>
      </c>
      <c r="C166" s="1">
        <v>0</v>
      </c>
      <c r="D166" s="1" t="s">
        <v>3</v>
      </c>
      <c r="E166" s="1">
        <f t="shared" si="7"/>
        <v>10384709.199999999</v>
      </c>
      <c r="F166" s="1">
        <f t="shared" si="5"/>
        <v>0</v>
      </c>
    </row>
    <row r="167" spans="1:6" hidden="1" x14ac:dyDescent="0.35">
      <c r="A167" s="1">
        <v>1986</v>
      </c>
      <c r="B167" s="1" t="s">
        <v>5</v>
      </c>
      <c r="C167" s="1">
        <v>0</v>
      </c>
      <c r="D167" s="1" t="s">
        <v>3</v>
      </c>
      <c r="E167" s="1">
        <f t="shared" si="7"/>
        <v>10384709.199999999</v>
      </c>
      <c r="F167" s="1">
        <f t="shared" si="5"/>
        <v>0</v>
      </c>
    </row>
    <row r="168" spans="1:6" hidden="1" x14ac:dyDescent="0.35">
      <c r="A168" s="1">
        <v>1987</v>
      </c>
      <c r="B168" s="1" t="s">
        <v>5</v>
      </c>
      <c r="C168" s="1">
        <v>0</v>
      </c>
      <c r="D168" s="1" t="s">
        <v>3</v>
      </c>
      <c r="E168" s="1">
        <f t="shared" si="7"/>
        <v>10384709.199999999</v>
      </c>
      <c r="F168" s="1">
        <f t="shared" si="5"/>
        <v>0</v>
      </c>
    </row>
    <row r="169" spans="1:6" hidden="1" x14ac:dyDescent="0.35">
      <c r="A169" s="1">
        <v>1988</v>
      </c>
      <c r="B169" s="1" t="s">
        <v>5</v>
      </c>
      <c r="C169" s="1">
        <v>0</v>
      </c>
      <c r="D169" s="1" t="s">
        <v>3</v>
      </c>
      <c r="E169" s="1">
        <f t="shared" si="7"/>
        <v>10384709.199999999</v>
      </c>
      <c r="F169" s="1">
        <f t="shared" si="5"/>
        <v>0</v>
      </c>
    </row>
    <row r="170" spans="1:6" hidden="1" x14ac:dyDescent="0.35">
      <c r="A170" s="1">
        <v>1989</v>
      </c>
      <c r="B170" s="1" t="s">
        <v>5</v>
      </c>
      <c r="C170" s="1">
        <v>0</v>
      </c>
      <c r="D170" s="1" t="s">
        <v>3</v>
      </c>
      <c r="E170" s="1">
        <f t="shared" si="7"/>
        <v>10384709.199999999</v>
      </c>
      <c r="F170" s="1">
        <f t="shared" si="5"/>
        <v>0</v>
      </c>
    </row>
    <row r="171" spans="1:6" hidden="1" x14ac:dyDescent="0.35">
      <c r="A171" s="1">
        <v>1990</v>
      </c>
      <c r="B171" s="1" t="s">
        <v>5</v>
      </c>
      <c r="C171" s="1">
        <v>0</v>
      </c>
      <c r="D171" s="1" t="s">
        <v>3</v>
      </c>
      <c r="E171" s="1">
        <f t="shared" si="7"/>
        <v>10384709.199999999</v>
      </c>
      <c r="F171" s="1">
        <f t="shared" si="5"/>
        <v>0</v>
      </c>
    </row>
    <row r="172" spans="1:6" hidden="1" x14ac:dyDescent="0.35">
      <c r="A172" s="1">
        <v>1991</v>
      </c>
      <c r="B172" s="1" t="s">
        <v>5</v>
      </c>
      <c r="C172" s="1">
        <v>0</v>
      </c>
      <c r="D172" s="1" t="s">
        <v>3</v>
      </c>
      <c r="E172" s="1">
        <f t="shared" si="7"/>
        <v>10384709.199999999</v>
      </c>
      <c r="F172" s="1">
        <f t="shared" si="5"/>
        <v>0</v>
      </c>
    </row>
    <row r="173" spans="1:6" hidden="1" x14ac:dyDescent="0.35">
      <c r="A173" s="1">
        <v>1992</v>
      </c>
      <c r="B173" s="1" t="s">
        <v>5</v>
      </c>
      <c r="C173" s="1">
        <v>0</v>
      </c>
      <c r="D173" s="1" t="s">
        <v>3</v>
      </c>
      <c r="E173" s="1">
        <f t="shared" si="7"/>
        <v>10384709.199999999</v>
      </c>
      <c r="F173" s="1">
        <f t="shared" si="5"/>
        <v>0</v>
      </c>
    </row>
    <row r="174" spans="1:6" hidden="1" x14ac:dyDescent="0.35">
      <c r="A174" s="1">
        <v>1993</v>
      </c>
      <c r="B174" s="1" t="s">
        <v>5</v>
      </c>
      <c r="C174" s="1">
        <v>0</v>
      </c>
      <c r="D174" s="1" t="s">
        <v>3</v>
      </c>
      <c r="E174" s="1">
        <f t="shared" si="7"/>
        <v>10384709.199999999</v>
      </c>
      <c r="F174" s="1">
        <f t="shared" si="5"/>
        <v>0</v>
      </c>
    </row>
    <row r="175" spans="1:6" hidden="1" x14ac:dyDescent="0.35">
      <c r="A175" s="1">
        <v>1994</v>
      </c>
      <c r="B175" s="1" t="s">
        <v>5</v>
      </c>
      <c r="C175" s="1">
        <v>0</v>
      </c>
      <c r="D175" s="1" t="s">
        <v>3</v>
      </c>
      <c r="E175" s="1">
        <f t="shared" si="7"/>
        <v>10384709.199999999</v>
      </c>
      <c r="F175" s="1">
        <f t="shared" si="5"/>
        <v>0</v>
      </c>
    </row>
    <row r="176" spans="1:6" hidden="1" x14ac:dyDescent="0.35">
      <c r="A176" s="1">
        <v>1995</v>
      </c>
      <c r="B176" s="1" t="s">
        <v>5</v>
      </c>
      <c r="C176" s="1">
        <v>0</v>
      </c>
      <c r="D176" s="1" t="s">
        <v>3</v>
      </c>
      <c r="E176" s="1">
        <f t="shared" si="7"/>
        <v>10384709.199999999</v>
      </c>
      <c r="F176" s="1">
        <f t="shared" si="5"/>
        <v>0</v>
      </c>
    </row>
    <row r="177" spans="1:6" hidden="1" x14ac:dyDescent="0.35">
      <c r="A177" s="1">
        <v>1996</v>
      </c>
      <c r="B177" s="1" t="s">
        <v>5</v>
      </c>
      <c r="C177" s="1">
        <v>0</v>
      </c>
      <c r="D177" s="1" t="s">
        <v>3</v>
      </c>
      <c r="E177" s="1">
        <f t="shared" si="7"/>
        <v>10384709.199999999</v>
      </c>
      <c r="F177" s="1">
        <f t="shared" si="5"/>
        <v>0</v>
      </c>
    </row>
    <row r="178" spans="1:6" hidden="1" x14ac:dyDescent="0.35">
      <c r="A178" s="1">
        <v>1997</v>
      </c>
      <c r="B178" s="1" t="s">
        <v>5</v>
      </c>
      <c r="C178" s="1">
        <v>0</v>
      </c>
      <c r="D178" s="1" t="s">
        <v>3</v>
      </c>
      <c r="E178" s="1">
        <f t="shared" si="7"/>
        <v>10384709.199999999</v>
      </c>
      <c r="F178" s="1">
        <f t="shared" si="5"/>
        <v>0</v>
      </c>
    </row>
    <row r="179" spans="1:6" hidden="1" x14ac:dyDescent="0.35">
      <c r="A179" s="1">
        <v>1998</v>
      </c>
      <c r="B179" s="1" t="s">
        <v>5</v>
      </c>
      <c r="C179" s="1">
        <v>1</v>
      </c>
      <c r="D179" s="1" t="s">
        <v>3</v>
      </c>
      <c r="E179" s="1">
        <f t="shared" si="7"/>
        <v>10384709.199999999</v>
      </c>
      <c r="F179" s="1">
        <f t="shared" si="5"/>
        <v>9.6295426356281605E-8</v>
      </c>
    </row>
    <row r="180" spans="1:6" hidden="1" x14ac:dyDescent="0.35">
      <c r="A180" s="1">
        <v>1999</v>
      </c>
      <c r="B180" s="1" t="s">
        <v>5</v>
      </c>
      <c r="C180" s="1">
        <v>1</v>
      </c>
      <c r="D180" s="1" t="s">
        <v>3</v>
      </c>
      <c r="E180" s="1">
        <f t="shared" si="7"/>
        <v>10384709.199999999</v>
      </c>
      <c r="F180" s="1">
        <f t="shared" si="5"/>
        <v>9.6295426356281605E-8</v>
      </c>
    </row>
    <row r="181" spans="1:6" hidden="1" x14ac:dyDescent="0.35">
      <c r="A181" s="1">
        <v>2000</v>
      </c>
      <c r="B181" s="1" t="s">
        <v>5</v>
      </c>
      <c r="C181" s="1">
        <v>0</v>
      </c>
      <c r="D181" s="1" t="s">
        <v>3</v>
      </c>
      <c r="E181" s="1">
        <f t="shared" si="7"/>
        <v>10384709.199999999</v>
      </c>
      <c r="F181" s="1">
        <f t="shared" si="5"/>
        <v>0</v>
      </c>
    </row>
    <row r="182" spans="1:6" hidden="1" x14ac:dyDescent="0.35">
      <c r="A182" s="1">
        <v>2001</v>
      </c>
      <c r="B182" s="1" t="s">
        <v>5</v>
      </c>
      <c r="C182" s="1">
        <v>34</v>
      </c>
      <c r="D182" s="1" t="s">
        <v>3</v>
      </c>
      <c r="E182" s="1">
        <f t="shared" si="7"/>
        <v>10384709.199999999</v>
      </c>
      <c r="F182" s="1">
        <f t="shared" si="5"/>
        <v>3.2740444961135748E-6</v>
      </c>
    </row>
    <row r="183" spans="1:6" hidden="1" x14ac:dyDescent="0.35">
      <c r="A183" s="1">
        <v>2002</v>
      </c>
      <c r="B183" s="1" t="s">
        <v>5</v>
      </c>
      <c r="C183" s="1">
        <v>12</v>
      </c>
      <c r="D183" s="1" t="s">
        <v>3</v>
      </c>
      <c r="E183" s="1">
        <f t="shared" si="7"/>
        <v>10384709.199999999</v>
      </c>
      <c r="F183" s="1">
        <f t="shared" si="5"/>
        <v>1.1555451162753793E-6</v>
      </c>
    </row>
    <row r="184" spans="1:6" hidden="1" x14ac:dyDescent="0.35">
      <c r="A184" s="1">
        <v>2003</v>
      </c>
      <c r="B184" s="1" t="s">
        <v>5</v>
      </c>
      <c r="C184" s="1">
        <v>26</v>
      </c>
      <c r="D184" s="1" t="s">
        <v>3</v>
      </c>
      <c r="E184" s="1">
        <f t="shared" si="7"/>
        <v>10384709.199999999</v>
      </c>
      <c r="F184" s="1">
        <f t="shared" si="5"/>
        <v>2.503681085263322E-6</v>
      </c>
    </row>
    <row r="185" spans="1:6" hidden="1" x14ac:dyDescent="0.35">
      <c r="A185" s="1">
        <v>2004</v>
      </c>
      <c r="B185" s="1" t="s">
        <v>5</v>
      </c>
      <c r="C185" s="1">
        <v>13</v>
      </c>
      <c r="D185" s="1" t="s">
        <v>3</v>
      </c>
      <c r="E185" s="1">
        <f t="shared" si="7"/>
        <v>10384709.199999999</v>
      </c>
      <c r="F185" s="1">
        <f t="shared" si="5"/>
        <v>1.251840542631661E-6</v>
      </c>
    </row>
    <row r="186" spans="1:6" hidden="1" x14ac:dyDescent="0.35">
      <c r="A186" s="1">
        <v>2005</v>
      </c>
      <c r="B186" s="1" t="s">
        <v>5</v>
      </c>
      <c r="C186" s="1">
        <v>7</v>
      </c>
      <c r="D186" s="1" t="s">
        <v>3</v>
      </c>
      <c r="E186" s="1">
        <f t="shared" si="7"/>
        <v>10384709.199999999</v>
      </c>
      <c r="F186" s="1">
        <f t="shared" si="5"/>
        <v>6.7406798449397124E-7</v>
      </c>
    </row>
    <row r="187" spans="1:6" hidden="1" x14ac:dyDescent="0.35">
      <c r="A187" s="1">
        <v>2006</v>
      </c>
      <c r="B187" s="1" t="s">
        <v>5</v>
      </c>
      <c r="C187" s="1">
        <v>1</v>
      </c>
      <c r="D187" s="1" t="s">
        <v>3</v>
      </c>
      <c r="E187" s="1">
        <f t="shared" si="7"/>
        <v>10384709.199999999</v>
      </c>
      <c r="F187" s="1">
        <f t="shared" si="5"/>
        <v>9.6295426356281605E-8</v>
      </c>
    </row>
    <row r="188" spans="1:6" hidden="1" x14ac:dyDescent="0.35">
      <c r="A188" s="1">
        <v>2007</v>
      </c>
      <c r="B188" s="1" t="s">
        <v>5</v>
      </c>
      <c r="C188" s="1">
        <v>12</v>
      </c>
      <c r="D188" s="1" t="s">
        <v>3</v>
      </c>
      <c r="E188" s="1">
        <f t="shared" si="7"/>
        <v>10384709.199999999</v>
      </c>
      <c r="F188" s="1">
        <f t="shared" si="5"/>
        <v>1.1555451162753793E-6</v>
      </c>
    </row>
    <row r="189" spans="1:6" hidden="1" x14ac:dyDescent="0.35">
      <c r="A189" s="1">
        <v>2008</v>
      </c>
      <c r="B189" s="1" t="s">
        <v>5</v>
      </c>
      <c r="C189" s="1">
        <v>9</v>
      </c>
      <c r="D189" s="1" t="s">
        <v>3</v>
      </c>
      <c r="E189" s="1">
        <f t="shared" si="7"/>
        <v>10384709.199999999</v>
      </c>
      <c r="F189" s="1">
        <f t="shared" si="5"/>
        <v>8.6665883720653445E-7</v>
      </c>
    </row>
    <row r="190" spans="1:6" hidden="1" x14ac:dyDescent="0.35">
      <c r="A190" s="1">
        <v>2009</v>
      </c>
      <c r="B190" s="1" t="s">
        <v>5</v>
      </c>
      <c r="C190" s="1">
        <v>17</v>
      </c>
      <c r="D190" s="1" t="s">
        <v>3</v>
      </c>
      <c r="E190" s="1">
        <f t="shared" si="7"/>
        <v>10384709.199999999</v>
      </c>
      <c r="F190" s="1">
        <f t="shared" si="5"/>
        <v>1.6370222480567874E-6</v>
      </c>
    </row>
    <row r="191" spans="1:6" hidden="1" x14ac:dyDescent="0.35">
      <c r="A191" s="1">
        <v>2010</v>
      </c>
      <c r="B191" s="1" t="s">
        <v>5</v>
      </c>
      <c r="C191" s="1">
        <v>0</v>
      </c>
      <c r="D191" s="1" t="s">
        <v>3</v>
      </c>
      <c r="E191" s="1">
        <f t="shared" si="7"/>
        <v>10384709.199999999</v>
      </c>
      <c r="F191" s="1">
        <f t="shared" si="5"/>
        <v>0</v>
      </c>
    </row>
    <row r="192" spans="1:6" hidden="1" x14ac:dyDescent="0.35">
      <c r="A192" s="1">
        <v>2011</v>
      </c>
      <c r="B192" s="1" t="s">
        <v>5</v>
      </c>
      <c r="C192" s="1">
        <v>3</v>
      </c>
      <c r="D192" s="1" t="s">
        <v>3</v>
      </c>
      <c r="E192" s="1">
        <f t="shared" si="7"/>
        <v>10384709.199999999</v>
      </c>
      <c r="F192" s="1">
        <f t="shared" si="5"/>
        <v>2.8888627906884482E-7</v>
      </c>
    </row>
    <row r="193" spans="1:6" hidden="1" x14ac:dyDescent="0.35">
      <c r="A193" s="1">
        <v>2012</v>
      </c>
      <c r="B193" s="1" t="s">
        <v>5</v>
      </c>
      <c r="C193" s="1">
        <v>5</v>
      </c>
      <c r="D193" s="1" t="s">
        <v>3</v>
      </c>
      <c r="E193" s="1">
        <f t="shared" si="7"/>
        <v>10384709.199999999</v>
      </c>
      <c r="F193" s="1">
        <f t="shared" si="5"/>
        <v>4.8147713178140803E-7</v>
      </c>
    </row>
    <row r="194" spans="1:6" hidden="1" x14ac:dyDescent="0.35">
      <c r="A194" s="1">
        <v>2013</v>
      </c>
      <c r="B194" s="1" t="s">
        <v>5</v>
      </c>
      <c r="C194" s="1">
        <v>0</v>
      </c>
      <c r="D194" s="1" t="s">
        <v>3</v>
      </c>
      <c r="E194" s="1">
        <f t="shared" si="7"/>
        <v>10384709.199999999</v>
      </c>
      <c r="F194" s="1">
        <f t="shared" si="5"/>
        <v>0</v>
      </c>
    </row>
    <row r="195" spans="1:6" hidden="1" x14ac:dyDescent="0.35">
      <c r="A195" s="1">
        <v>2014</v>
      </c>
      <c r="B195" s="1" t="s">
        <v>5</v>
      </c>
      <c r="C195" s="1">
        <v>4</v>
      </c>
      <c r="D195" s="1" t="s">
        <v>3</v>
      </c>
      <c r="E195" s="1">
        <f t="shared" si="7"/>
        <v>10384709.199999999</v>
      </c>
      <c r="F195" s="1">
        <f t="shared" ref="F195:F235" si="8">C195/E195</f>
        <v>3.8518170542512642E-7</v>
      </c>
    </row>
    <row r="196" spans="1:6" hidden="1" x14ac:dyDescent="0.35">
      <c r="A196" s="1">
        <v>2015</v>
      </c>
      <c r="B196" s="1" t="s">
        <v>5</v>
      </c>
      <c r="C196" s="1">
        <v>1</v>
      </c>
      <c r="D196" s="1" t="s">
        <v>3</v>
      </c>
      <c r="E196" s="1">
        <f t="shared" si="7"/>
        <v>10384709.199999999</v>
      </c>
      <c r="F196" s="1">
        <f t="shared" si="8"/>
        <v>9.6295426356281605E-8</v>
      </c>
    </row>
    <row r="197" spans="1:6" hidden="1" x14ac:dyDescent="0.35">
      <c r="A197" s="1">
        <v>2016</v>
      </c>
      <c r="B197" s="1" t="s">
        <v>5</v>
      </c>
      <c r="C197" s="1">
        <v>5</v>
      </c>
      <c r="D197" s="1" t="s">
        <v>3</v>
      </c>
      <c r="E197" s="1">
        <f t="shared" si="7"/>
        <v>10384709.199999999</v>
      </c>
      <c r="F197" s="1">
        <f t="shared" si="8"/>
        <v>4.8147713178140803E-7</v>
      </c>
    </row>
    <row r="198" spans="1:6" hidden="1" x14ac:dyDescent="0.35">
      <c r="A198" s="1">
        <v>2017</v>
      </c>
      <c r="B198" s="1" t="s">
        <v>5</v>
      </c>
      <c r="C198" s="1">
        <v>1</v>
      </c>
      <c r="D198" s="1" t="s">
        <v>3</v>
      </c>
      <c r="E198" s="1">
        <f t="shared" si="7"/>
        <v>10384709.199999999</v>
      </c>
      <c r="F198" s="1">
        <f t="shared" si="8"/>
        <v>9.6295426356281605E-8</v>
      </c>
    </row>
    <row r="199" spans="1:6" hidden="1" x14ac:dyDescent="0.35">
      <c r="A199" s="1">
        <v>2018</v>
      </c>
      <c r="B199" s="1" t="s">
        <v>5</v>
      </c>
      <c r="C199" s="1">
        <v>0</v>
      </c>
      <c r="D199" s="1" t="s">
        <v>3</v>
      </c>
      <c r="E199" s="1">
        <f t="shared" si="7"/>
        <v>10384709.199999999</v>
      </c>
      <c r="F199" s="1">
        <f t="shared" si="8"/>
        <v>0</v>
      </c>
    </row>
    <row r="200" spans="1:6" hidden="1" x14ac:dyDescent="0.35">
      <c r="A200" s="1">
        <v>2019</v>
      </c>
      <c r="B200" s="1" t="s">
        <v>5</v>
      </c>
      <c r="C200" s="1">
        <v>2</v>
      </c>
      <c r="D200" s="1" t="s">
        <v>3</v>
      </c>
      <c r="E200" s="1">
        <f t="shared" si="7"/>
        <v>10384709.199999999</v>
      </c>
      <c r="F200" s="1">
        <f t="shared" si="8"/>
        <v>1.9259085271256321E-7</v>
      </c>
    </row>
    <row r="201" spans="1:6" hidden="1" x14ac:dyDescent="0.35">
      <c r="A201" s="1">
        <v>2020</v>
      </c>
      <c r="B201" s="1" t="s">
        <v>5</v>
      </c>
      <c r="C201" s="1">
        <v>0</v>
      </c>
      <c r="D201" s="1" t="s">
        <v>3</v>
      </c>
      <c r="E201" s="1">
        <f t="shared" si="7"/>
        <v>10384709.199999999</v>
      </c>
      <c r="F201" s="1">
        <f t="shared" si="8"/>
        <v>0</v>
      </c>
    </row>
    <row r="202" spans="1:6" hidden="1" x14ac:dyDescent="0.35">
      <c r="A202" s="1">
        <v>2021</v>
      </c>
      <c r="B202" s="1" t="s">
        <v>5</v>
      </c>
      <c r="C202" s="1">
        <v>10</v>
      </c>
      <c r="D202" s="1" t="s">
        <v>3</v>
      </c>
      <c r="E202" s="1">
        <f t="shared" si="7"/>
        <v>10384709.199999999</v>
      </c>
      <c r="F202" s="1">
        <f t="shared" si="8"/>
        <v>9.6295426356281605E-7</v>
      </c>
    </row>
    <row r="203" spans="1:6" hidden="1" x14ac:dyDescent="0.35">
      <c r="A203" s="1">
        <v>1981</v>
      </c>
      <c r="B203" s="2" t="s">
        <v>6</v>
      </c>
      <c r="C203" s="1">
        <v>0</v>
      </c>
      <c r="D203" s="1" t="s">
        <v>3</v>
      </c>
      <c r="E203" s="1">
        <f t="shared" si="7"/>
        <v>10384709.199999999</v>
      </c>
      <c r="F203" s="1">
        <f t="shared" si="8"/>
        <v>0</v>
      </c>
    </row>
    <row r="204" spans="1:6" hidden="1" x14ac:dyDescent="0.35">
      <c r="A204" s="1">
        <v>1982</v>
      </c>
      <c r="B204" s="2" t="s">
        <v>6</v>
      </c>
      <c r="C204" s="1">
        <v>0</v>
      </c>
      <c r="D204" s="1" t="s">
        <v>3</v>
      </c>
      <c r="E204" s="1">
        <f t="shared" si="7"/>
        <v>10384709.199999999</v>
      </c>
      <c r="F204" s="1">
        <f t="shared" si="8"/>
        <v>0</v>
      </c>
    </row>
    <row r="205" spans="1:6" hidden="1" x14ac:dyDescent="0.35">
      <c r="A205" s="1">
        <v>1985</v>
      </c>
      <c r="B205" s="2" t="s">
        <v>6</v>
      </c>
      <c r="C205" s="1">
        <v>0</v>
      </c>
      <c r="D205" s="1" t="s">
        <v>3</v>
      </c>
      <c r="E205" s="1">
        <f t="shared" si="7"/>
        <v>10384709.199999999</v>
      </c>
      <c r="F205" s="1">
        <f t="shared" si="8"/>
        <v>0</v>
      </c>
    </row>
    <row r="206" spans="1:6" hidden="1" x14ac:dyDescent="0.35">
      <c r="A206" s="1">
        <v>1986</v>
      </c>
      <c r="B206" s="2" t="s">
        <v>6</v>
      </c>
      <c r="C206" s="1">
        <v>0</v>
      </c>
      <c r="D206" s="1" t="s">
        <v>3</v>
      </c>
      <c r="E206" s="1">
        <f t="shared" si="7"/>
        <v>10384709.199999999</v>
      </c>
      <c r="F206" s="1">
        <f t="shared" si="8"/>
        <v>0</v>
      </c>
    </row>
    <row r="207" spans="1:6" hidden="1" x14ac:dyDescent="0.35">
      <c r="A207" s="1">
        <v>1987</v>
      </c>
      <c r="B207" s="2" t="s">
        <v>6</v>
      </c>
      <c r="C207" s="1">
        <v>0</v>
      </c>
      <c r="D207" s="1" t="s">
        <v>3</v>
      </c>
      <c r="E207" s="1">
        <f t="shared" si="7"/>
        <v>10384709.199999999</v>
      </c>
      <c r="F207" s="1">
        <f t="shared" si="8"/>
        <v>0</v>
      </c>
    </row>
    <row r="208" spans="1:6" hidden="1" x14ac:dyDescent="0.35">
      <c r="A208" s="1">
        <v>1988</v>
      </c>
      <c r="B208" s="2" t="s">
        <v>6</v>
      </c>
      <c r="C208" s="1">
        <v>0</v>
      </c>
      <c r="D208" s="1" t="s">
        <v>3</v>
      </c>
      <c r="E208" s="1">
        <f t="shared" si="7"/>
        <v>10384709.199999999</v>
      </c>
      <c r="F208" s="1">
        <f t="shared" si="8"/>
        <v>0</v>
      </c>
    </row>
    <row r="209" spans="1:6" hidden="1" x14ac:dyDescent="0.35">
      <c r="A209" s="1">
        <v>1989</v>
      </c>
      <c r="B209" s="2" t="s">
        <v>6</v>
      </c>
      <c r="C209" s="1">
        <v>0</v>
      </c>
      <c r="D209" s="1" t="s">
        <v>3</v>
      </c>
      <c r="E209" s="1">
        <f t="shared" si="7"/>
        <v>10384709.199999999</v>
      </c>
      <c r="F209" s="1">
        <f t="shared" si="8"/>
        <v>0</v>
      </c>
    </row>
    <row r="210" spans="1:6" hidden="1" x14ac:dyDescent="0.35">
      <c r="A210" s="1">
        <v>1990</v>
      </c>
      <c r="B210" s="2" t="s">
        <v>6</v>
      </c>
      <c r="C210" s="1">
        <v>0</v>
      </c>
      <c r="D210" s="1" t="s">
        <v>3</v>
      </c>
      <c r="E210" s="1">
        <f t="shared" si="7"/>
        <v>10384709.199999999</v>
      </c>
      <c r="F210" s="1">
        <f t="shared" si="8"/>
        <v>0</v>
      </c>
    </row>
    <row r="211" spans="1:6" hidden="1" x14ac:dyDescent="0.35">
      <c r="A211" s="1">
        <v>1991</v>
      </c>
      <c r="B211" s="2" t="s">
        <v>6</v>
      </c>
      <c r="C211" s="1">
        <v>0</v>
      </c>
      <c r="D211" s="1" t="s">
        <v>3</v>
      </c>
      <c r="E211" s="1">
        <f t="shared" si="7"/>
        <v>10384709.199999999</v>
      </c>
      <c r="F211" s="1">
        <f t="shared" si="8"/>
        <v>0</v>
      </c>
    </row>
    <row r="212" spans="1:6" hidden="1" x14ac:dyDescent="0.35">
      <c r="A212" s="1">
        <v>1998</v>
      </c>
      <c r="B212" s="2" t="s">
        <v>6</v>
      </c>
      <c r="C212" s="1">
        <v>41</v>
      </c>
      <c r="D212" s="1" t="s">
        <v>3</v>
      </c>
      <c r="E212" s="1">
        <f t="shared" si="7"/>
        <v>10384709.199999999</v>
      </c>
      <c r="F212" s="1">
        <f t="shared" si="8"/>
        <v>3.9481124806075461E-6</v>
      </c>
    </row>
    <row r="213" spans="1:6" hidden="1" x14ac:dyDescent="0.35">
      <c r="A213" s="1">
        <v>1999</v>
      </c>
      <c r="B213" s="2" t="s">
        <v>6</v>
      </c>
      <c r="C213" s="1">
        <v>296</v>
      </c>
      <c r="D213" s="1" t="s">
        <v>3</v>
      </c>
      <c r="E213" s="1">
        <f t="shared" si="7"/>
        <v>10384709.199999999</v>
      </c>
      <c r="F213" s="1">
        <f t="shared" si="8"/>
        <v>2.8503446201459354E-5</v>
      </c>
    </row>
    <row r="214" spans="1:6" hidden="1" x14ac:dyDescent="0.35">
      <c r="A214" s="1">
        <v>2000</v>
      </c>
      <c r="B214" s="2" t="s">
        <v>6</v>
      </c>
      <c r="C214" s="1">
        <v>751</v>
      </c>
      <c r="D214" s="1" t="s">
        <v>3</v>
      </c>
      <c r="E214" s="1">
        <f t="shared" si="7"/>
        <v>10384709.199999999</v>
      </c>
      <c r="F214" s="1">
        <f t="shared" si="8"/>
        <v>7.2317865193567484E-5</v>
      </c>
    </row>
    <row r="215" spans="1:6" hidden="1" x14ac:dyDescent="0.35">
      <c r="A215" s="1">
        <v>2001</v>
      </c>
      <c r="B215" s="2" t="s">
        <v>6</v>
      </c>
      <c r="C215" s="1">
        <v>626</v>
      </c>
      <c r="D215" s="1" t="s">
        <v>3</v>
      </c>
      <c r="E215" s="1">
        <f t="shared" si="7"/>
        <v>10384709.199999999</v>
      </c>
      <c r="F215" s="1">
        <f t="shared" si="8"/>
        <v>6.0280936899032286E-5</v>
      </c>
    </row>
    <row r="216" spans="1:6" hidden="1" x14ac:dyDescent="0.35">
      <c r="A216" s="1">
        <v>2002</v>
      </c>
      <c r="B216" s="2" t="s">
        <v>6</v>
      </c>
      <c r="C216" s="1">
        <v>1354</v>
      </c>
      <c r="D216" s="1" t="s">
        <v>3</v>
      </c>
      <c r="E216" s="1">
        <f t="shared" si="7"/>
        <v>10384709.199999999</v>
      </c>
      <c r="F216" s="1">
        <f t="shared" si="8"/>
        <v>1.303840072864053E-4</v>
      </c>
    </row>
    <row r="217" spans="1:6" hidden="1" x14ac:dyDescent="0.35">
      <c r="A217" s="1">
        <v>2003</v>
      </c>
      <c r="B217" s="2" t="s">
        <v>6</v>
      </c>
      <c r="C217" s="1">
        <v>1911</v>
      </c>
      <c r="D217" s="1" t="s">
        <v>3</v>
      </c>
      <c r="E217" s="1">
        <f t="shared" si="7"/>
        <v>10384709.199999999</v>
      </c>
      <c r="F217" s="1">
        <f t="shared" si="8"/>
        <v>1.8402055976685414E-4</v>
      </c>
    </row>
    <row r="218" spans="1:6" hidden="1" x14ac:dyDescent="0.35">
      <c r="A218" s="1">
        <v>2004</v>
      </c>
      <c r="B218" s="2" t="s">
        <v>6</v>
      </c>
      <c r="C218" s="1">
        <v>2558</v>
      </c>
      <c r="D218" s="1" t="s">
        <v>3</v>
      </c>
      <c r="E218" s="1">
        <f t="shared" si="7"/>
        <v>10384709.199999999</v>
      </c>
      <c r="F218" s="1">
        <f t="shared" si="8"/>
        <v>2.4632370061936835E-4</v>
      </c>
    </row>
    <row r="219" spans="1:6" hidden="1" x14ac:dyDescent="0.35">
      <c r="A219" s="1">
        <v>2005</v>
      </c>
      <c r="B219" s="2" t="s">
        <v>6</v>
      </c>
      <c r="C219" s="1">
        <v>3511</v>
      </c>
      <c r="D219" s="1" t="s">
        <v>3</v>
      </c>
      <c r="E219" s="1">
        <f t="shared" si="7"/>
        <v>10384709.199999999</v>
      </c>
      <c r="F219" s="1">
        <f t="shared" si="8"/>
        <v>3.3809324193690473E-4</v>
      </c>
    </row>
    <row r="220" spans="1:6" hidden="1" x14ac:dyDescent="0.35">
      <c r="A220" s="1">
        <v>2006</v>
      </c>
      <c r="B220" s="2" t="s">
        <v>6</v>
      </c>
      <c r="C220" s="1">
        <v>3482</v>
      </c>
      <c r="D220" s="1" t="s">
        <v>3</v>
      </c>
      <c r="E220" s="1">
        <f t="shared" si="7"/>
        <v>10384709.199999999</v>
      </c>
      <c r="F220" s="1">
        <f t="shared" si="8"/>
        <v>3.3530067457257257E-4</v>
      </c>
    </row>
    <row r="221" spans="1:6" hidden="1" x14ac:dyDescent="0.35">
      <c r="A221" s="1">
        <v>2007</v>
      </c>
      <c r="B221" s="2" t="s">
        <v>6</v>
      </c>
      <c r="C221" s="1">
        <v>3426</v>
      </c>
      <c r="D221" s="1" t="s">
        <v>3</v>
      </c>
      <c r="E221" s="1">
        <f t="shared" si="7"/>
        <v>10384709.199999999</v>
      </c>
      <c r="F221" s="1">
        <f t="shared" si="8"/>
        <v>3.299081306966208E-4</v>
      </c>
    </row>
    <row r="222" spans="1:6" hidden="1" x14ac:dyDescent="0.35">
      <c r="A222" s="1">
        <v>2008</v>
      </c>
      <c r="B222" s="2" t="s">
        <v>6</v>
      </c>
      <c r="C222" s="1">
        <v>2667</v>
      </c>
      <c r="D222" s="1" t="s">
        <v>3</v>
      </c>
      <c r="E222" s="1">
        <f t="shared" si="7"/>
        <v>10384709.199999999</v>
      </c>
      <c r="F222" s="1">
        <f t="shared" si="8"/>
        <v>2.5681990209220306E-4</v>
      </c>
    </row>
    <row r="223" spans="1:6" hidden="1" x14ac:dyDescent="0.35">
      <c r="A223" s="1">
        <v>2009</v>
      </c>
      <c r="B223" s="2" t="s">
        <v>6</v>
      </c>
      <c r="C223" s="1">
        <v>2916</v>
      </c>
      <c r="D223" s="1" t="s">
        <v>3</v>
      </c>
      <c r="E223" s="1">
        <f t="shared" si="7"/>
        <v>10384709.199999999</v>
      </c>
      <c r="F223" s="1">
        <f t="shared" si="8"/>
        <v>2.8079746325491718E-4</v>
      </c>
    </row>
    <row r="224" spans="1:6" hidden="1" x14ac:dyDescent="0.35">
      <c r="A224" s="1">
        <v>2010</v>
      </c>
      <c r="B224" s="2" t="s">
        <v>6</v>
      </c>
      <c r="C224" s="1">
        <v>3182</v>
      </c>
      <c r="D224" s="1" t="s">
        <v>3</v>
      </c>
      <c r="E224" s="1">
        <f t="shared" ref="E224:E235" si="9">3046141.51+5002840.68+2335727.01</f>
        <v>10384709.199999999</v>
      </c>
      <c r="F224" s="1">
        <f t="shared" si="8"/>
        <v>3.0641204666568807E-4</v>
      </c>
    </row>
    <row r="225" spans="1:6" hidden="1" x14ac:dyDescent="0.35">
      <c r="A225" s="1">
        <v>2011</v>
      </c>
      <c r="B225" s="2" t="s">
        <v>6</v>
      </c>
      <c r="C225" s="1">
        <v>3431</v>
      </c>
      <c r="D225" s="1" t="s">
        <v>3</v>
      </c>
      <c r="E225" s="1">
        <f t="shared" si="9"/>
        <v>10384709.199999999</v>
      </c>
      <c r="F225" s="1">
        <f t="shared" si="8"/>
        <v>3.3038960782840219E-4</v>
      </c>
    </row>
    <row r="226" spans="1:6" hidden="1" x14ac:dyDescent="0.35">
      <c r="A226" s="1">
        <v>2012</v>
      </c>
      <c r="B226" s="2" t="s">
        <v>6</v>
      </c>
      <c r="C226" s="1">
        <v>3601</v>
      </c>
      <c r="D226" s="1" t="s">
        <v>3</v>
      </c>
      <c r="E226" s="1">
        <f t="shared" si="9"/>
        <v>10384709.199999999</v>
      </c>
      <c r="F226" s="1">
        <f t="shared" si="8"/>
        <v>3.4675983030897005E-4</v>
      </c>
    </row>
    <row r="227" spans="1:6" hidden="1" x14ac:dyDescent="0.35">
      <c r="A227" s="1">
        <v>2013</v>
      </c>
      <c r="B227" s="2" t="s">
        <v>6</v>
      </c>
      <c r="C227" s="1">
        <v>3638</v>
      </c>
      <c r="D227" s="1" t="s">
        <v>3</v>
      </c>
      <c r="E227" s="1">
        <f t="shared" si="9"/>
        <v>10384709.199999999</v>
      </c>
      <c r="F227" s="1">
        <f t="shared" si="8"/>
        <v>3.5032276108415249E-4</v>
      </c>
    </row>
    <row r="228" spans="1:6" hidden="1" x14ac:dyDescent="0.35">
      <c r="A228" s="1">
        <v>2014</v>
      </c>
      <c r="B228" s="2" t="s">
        <v>6</v>
      </c>
      <c r="C228" s="1">
        <v>3347</v>
      </c>
      <c r="D228" s="1" t="s">
        <v>3</v>
      </c>
      <c r="E228" s="1">
        <f t="shared" si="9"/>
        <v>10384709.199999999</v>
      </c>
      <c r="F228" s="1">
        <f t="shared" si="8"/>
        <v>3.2230079201447454E-4</v>
      </c>
    </row>
    <row r="229" spans="1:6" hidden="1" x14ac:dyDescent="0.35">
      <c r="A229" s="1">
        <v>2015</v>
      </c>
      <c r="B229" s="2" t="s">
        <v>6</v>
      </c>
      <c r="C229" s="1">
        <v>3457</v>
      </c>
      <c r="D229" s="1" t="s">
        <v>3</v>
      </c>
      <c r="E229" s="1">
        <f t="shared" si="9"/>
        <v>10384709.199999999</v>
      </c>
      <c r="F229" s="1">
        <f t="shared" si="8"/>
        <v>3.3289328891366552E-4</v>
      </c>
    </row>
    <row r="230" spans="1:6" hidden="1" x14ac:dyDescent="0.35">
      <c r="A230" s="1">
        <v>2016</v>
      </c>
      <c r="B230" s="2" t="s">
        <v>6</v>
      </c>
      <c r="C230" s="1">
        <v>3401</v>
      </c>
      <c r="D230" s="1" t="s">
        <v>3</v>
      </c>
      <c r="E230" s="1">
        <f t="shared" si="9"/>
        <v>10384709.199999999</v>
      </c>
      <c r="F230" s="1">
        <f t="shared" si="8"/>
        <v>3.2750074503771375E-4</v>
      </c>
    </row>
    <row r="231" spans="1:6" hidden="1" x14ac:dyDescent="0.35">
      <c r="A231" s="1">
        <v>2017</v>
      </c>
      <c r="B231" s="2" t="s">
        <v>6</v>
      </c>
      <c r="C231" s="1">
        <v>3563</v>
      </c>
      <c r="D231" s="1" t="s">
        <v>3</v>
      </c>
      <c r="E231" s="1">
        <f t="shared" si="9"/>
        <v>10384709.199999999</v>
      </c>
      <c r="F231" s="1">
        <f t="shared" si="8"/>
        <v>3.4310060410743139E-4</v>
      </c>
    </row>
    <row r="232" spans="1:6" hidden="1" x14ac:dyDescent="0.35">
      <c r="A232" s="1">
        <v>2018</v>
      </c>
      <c r="B232" s="2" t="s">
        <v>6</v>
      </c>
      <c r="C232" s="1">
        <v>3474</v>
      </c>
      <c r="D232" s="1" t="s">
        <v>3</v>
      </c>
      <c r="E232" s="1">
        <f t="shared" si="9"/>
        <v>10384709.199999999</v>
      </c>
      <c r="F232" s="1">
        <f t="shared" si="8"/>
        <v>3.3453031116172229E-4</v>
      </c>
    </row>
    <row r="233" spans="1:6" hidden="1" x14ac:dyDescent="0.35">
      <c r="A233" s="1">
        <v>2019</v>
      </c>
      <c r="B233" s="2" t="s">
        <v>6</v>
      </c>
      <c r="C233" s="1">
        <v>3862</v>
      </c>
      <c r="D233" s="1" t="s">
        <v>3</v>
      </c>
      <c r="E233" s="1">
        <f t="shared" si="9"/>
        <v>10384709.199999999</v>
      </c>
      <c r="F233" s="1">
        <f t="shared" si="8"/>
        <v>3.7189293658795956E-4</v>
      </c>
    </row>
    <row r="234" spans="1:6" hidden="1" x14ac:dyDescent="0.35">
      <c r="A234" s="1">
        <v>2020</v>
      </c>
      <c r="B234" s="2" t="s">
        <v>6</v>
      </c>
      <c r="C234" s="1">
        <v>3710</v>
      </c>
      <c r="D234" s="1" t="s">
        <v>3</v>
      </c>
      <c r="E234" s="1">
        <f t="shared" si="9"/>
        <v>10384709.199999999</v>
      </c>
      <c r="F234" s="1">
        <f t="shared" si="8"/>
        <v>3.5725603178180475E-4</v>
      </c>
    </row>
    <row r="235" spans="1:6" hidden="1" x14ac:dyDescent="0.35">
      <c r="A235" s="1">
        <v>2021</v>
      </c>
      <c r="B235" s="2" t="s">
        <v>6</v>
      </c>
      <c r="C235" s="1">
        <v>3665</v>
      </c>
      <c r="D235" s="1" t="s">
        <v>3</v>
      </c>
      <c r="E235" s="1">
        <f t="shared" si="9"/>
        <v>10384709.199999999</v>
      </c>
      <c r="F235" s="1">
        <f t="shared" si="8"/>
        <v>3.5292273759577209E-4</v>
      </c>
    </row>
  </sheetData>
  <autoFilter ref="A1:F235" xr:uid="{00000000-0009-0000-0000-000000000000}">
    <filterColumn colId="0">
      <filters>
        <filter val="2005"/>
        <filter val="2006"/>
        <filter val="2007"/>
        <filter val="2008"/>
        <filter val="2009"/>
        <filter val="2010"/>
      </filters>
    </filterColumn>
    <filterColumn colId="3">
      <filters>
        <filter val="Area 58"/>
      </filters>
    </filterColumn>
  </autoFilter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"/>
  <sheetViews>
    <sheetView workbookViewId="0">
      <selection activeCell="M14" sqref="M14"/>
    </sheetView>
  </sheetViews>
  <sheetFormatPr defaultColWidth="9.1796875" defaultRowHeight="14.5" x14ac:dyDescent="0.35"/>
  <cols>
    <col min="1" max="1" width="7.26953125" style="1" bestFit="1" customWidth="1"/>
    <col min="2" max="2" width="8.1796875" style="1" bestFit="1" customWidth="1"/>
    <col min="3" max="3" width="12" style="1" bestFit="1" customWidth="1"/>
    <col min="4" max="4" width="17.7265625" style="1" bestFit="1" customWidth="1"/>
    <col min="5" max="5" width="18.7265625" style="1" bestFit="1" customWidth="1"/>
    <col min="6" max="6" width="13.81640625" style="1" bestFit="1" customWidth="1"/>
    <col min="7" max="7" width="11.26953125" style="1" bestFit="1" customWidth="1"/>
    <col min="8" max="8" width="27" style="1" bestFit="1" customWidth="1"/>
    <col min="9" max="9" width="20.54296875" style="1" bestFit="1" customWidth="1"/>
    <col min="10" max="10" width="18" style="1" bestFit="1" customWidth="1"/>
    <col min="11" max="11" width="18" style="1" customWidth="1"/>
    <col min="12" max="12" width="10.7265625" style="1" bestFit="1" customWidth="1"/>
    <col min="13" max="14" width="10.7265625" style="1" customWidth="1"/>
    <col min="15" max="15" width="19.81640625" style="1" customWidth="1"/>
    <col min="16" max="16" width="18.26953125" style="1" bestFit="1" customWidth="1"/>
    <col min="17" max="17" width="12" style="1" bestFit="1" customWidth="1"/>
    <col min="18" max="18" width="9.1796875" style="1"/>
    <col min="19" max="19" width="12" style="1" bestFit="1" customWidth="1"/>
    <col min="20" max="16384" width="9.1796875" style="1"/>
  </cols>
  <sheetData>
    <row r="1" spans="1:17" x14ac:dyDescent="0.35">
      <c r="A1" s="1" t="s">
        <v>7</v>
      </c>
      <c r="B1" s="1" t="s">
        <v>13</v>
      </c>
      <c r="C1" s="1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19</v>
      </c>
      <c r="J1" s="1" t="s">
        <v>17</v>
      </c>
      <c r="K1" s="1" t="s">
        <v>18</v>
      </c>
      <c r="L1" s="1" t="s">
        <v>23</v>
      </c>
      <c r="M1" s="1" t="s">
        <v>27</v>
      </c>
      <c r="N1" s="1" t="s">
        <v>26</v>
      </c>
      <c r="O1" s="1" t="s">
        <v>28</v>
      </c>
      <c r="P1" s="1" t="s">
        <v>29</v>
      </c>
      <c r="Q1" s="1" t="s">
        <v>30</v>
      </c>
    </row>
    <row r="2" spans="1:17" x14ac:dyDescent="0.35">
      <c r="A2" s="1">
        <v>2005</v>
      </c>
      <c r="B2" s="1" t="s">
        <v>25</v>
      </c>
      <c r="C2" s="1">
        <v>4640106.71</v>
      </c>
      <c r="D2" s="1">
        <v>7</v>
      </c>
      <c r="E2" s="1">
        <v>600</v>
      </c>
      <c r="F2" s="1">
        <v>1</v>
      </c>
      <c r="G2" s="1">
        <v>479</v>
      </c>
      <c r="H2" s="1" t="s">
        <v>16</v>
      </c>
      <c r="I2" s="1">
        <v>17</v>
      </c>
      <c r="J2" s="1">
        <v>1</v>
      </c>
      <c r="K2" s="1">
        <v>1</v>
      </c>
      <c r="L2" s="1">
        <v>0</v>
      </c>
      <c r="O2" s="1">
        <f>SUM(F2:H2)/C2</f>
        <v>1.0344589682938564E-4</v>
      </c>
      <c r="P2" s="1">
        <f>I2/C2</f>
        <v>3.6637088460407413E-6</v>
      </c>
      <c r="Q2" s="1">
        <f>K2/C2</f>
        <v>2.1551228506122008E-7</v>
      </c>
    </row>
    <row r="3" spans="1:17" x14ac:dyDescent="0.35">
      <c r="A3" s="1">
        <v>2006</v>
      </c>
      <c r="B3" s="1" t="s">
        <v>25</v>
      </c>
      <c r="C3" s="1">
        <v>4640106.71</v>
      </c>
      <c r="D3" s="1">
        <v>6</v>
      </c>
      <c r="E3" s="1">
        <v>600</v>
      </c>
      <c r="F3" s="1">
        <v>0</v>
      </c>
      <c r="G3" s="1">
        <v>420</v>
      </c>
      <c r="H3" s="1">
        <v>597</v>
      </c>
      <c r="I3" s="1">
        <v>15</v>
      </c>
      <c r="J3" s="1">
        <v>1</v>
      </c>
      <c r="K3" s="1">
        <v>1</v>
      </c>
      <c r="L3" s="1">
        <v>0</v>
      </c>
      <c r="O3" s="1">
        <f t="shared" ref="O3:O48" si="0">SUM(F3:H3)/C3</f>
        <v>2.191759939072608E-4</v>
      </c>
      <c r="P3" s="1">
        <f t="shared" ref="P3:P48" si="1">I3/C3</f>
        <v>3.2326842759183012E-6</v>
      </c>
      <c r="Q3" s="1">
        <f t="shared" ref="Q3:Q48" si="2">K3/C3</f>
        <v>2.1551228506122008E-7</v>
      </c>
    </row>
    <row r="4" spans="1:17" x14ac:dyDescent="0.35">
      <c r="A4" s="1">
        <v>2007</v>
      </c>
      <c r="B4" s="1" t="s">
        <v>25</v>
      </c>
      <c r="C4" s="1">
        <v>4640106.71</v>
      </c>
      <c r="D4" s="1">
        <v>4</v>
      </c>
      <c r="E4" s="1">
        <v>600</v>
      </c>
      <c r="F4" s="1">
        <v>94</v>
      </c>
      <c r="G4" s="1">
        <f xml:space="preserve"> 517+24</f>
        <v>541</v>
      </c>
      <c r="H4" s="1">
        <v>626</v>
      </c>
      <c r="I4" s="1">
        <v>28</v>
      </c>
      <c r="J4" s="1">
        <v>1</v>
      </c>
      <c r="K4" s="1">
        <v>1</v>
      </c>
      <c r="L4" s="1">
        <v>1</v>
      </c>
      <c r="M4" s="1">
        <v>94</v>
      </c>
      <c r="N4" s="1">
        <v>24</v>
      </c>
      <c r="O4" s="1">
        <f t="shared" si="0"/>
        <v>2.7176099146219849E-4</v>
      </c>
      <c r="P4" s="1">
        <f t="shared" si="1"/>
        <v>6.0343439817141616E-6</v>
      </c>
      <c r="Q4" s="1">
        <f t="shared" si="2"/>
        <v>2.1551228506122008E-7</v>
      </c>
    </row>
    <row r="5" spans="1:17" x14ac:dyDescent="0.35">
      <c r="A5" s="1">
        <v>2008</v>
      </c>
      <c r="B5" s="1" t="s">
        <v>25</v>
      </c>
      <c r="C5" s="1">
        <v>4640106.71</v>
      </c>
      <c r="D5" s="1">
        <v>6</v>
      </c>
      <c r="E5" s="1">
        <v>600</v>
      </c>
      <c r="F5" s="1">
        <v>1</v>
      </c>
      <c r="G5" s="1">
        <v>410</v>
      </c>
      <c r="H5" s="1">
        <v>136</v>
      </c>
      <c r="I5" s="1">
        <v>35</v>
      </c>
      <c r="J5" s="1">
        <v>1</v>
      </c>
      <c r="K5" s="1">
        <v>1</v>
      </c>
      <c r="L5" s="1">
        <v>0</v>
      </c>
      <c r="O5" s="1">
        <f t="shared" si="0"/>
        <v>1.1788521992848738E-4</v>
      </c>
      <c r="P5" s="1">
        <f t="shared" si="1"/>
        <v>7.5429299771427022E-6</v>
      </c>
      <c r="Q5" s="1">
        <f t="shared" si="2"/>
        <v>2.1551228506122008E-7</v>
      </c>
    </row>
    <row r="6" spans="1:17" x14ac:dyDescent="0.35">
      <c r="A6" s="1">
        <v>2009</v>
      </c>
      <c r="B6" s="1" t="s">
        <v>25</v>
      </c>
      <c r="C6" s="1">
        <v>4640106.71</v>
      </c>
      <c r="D6" s="1">
        <v>3</v>
      </c>
      <c r="E6" s="1">
        <v>210</v>
      </c>
      <c r="F6" s="1">
        <v>0</v>
      </c>
      <c r="G6" s="1">
        <f>162+60</f>
        <v>222</v>
      </c>
      <c r="H6" s="1">
        <v>152</v>
      </c>
      <c r="I6" s="1">
        <v>3</v>
      </c>
      <c r="J6" s="1">
        <v>1</v>
      </c>
      <c r="K6" s="1">
        <v>1</v>
      </c>
      <c r="L6" s="1">
        <v>1</v>
      </c>
      <c r="M6" s="1">
        <v>0</v>
      </c>
      <c r="N6" s="1">
        <v>60</v>
      </c>
      <c r="O6" s="1">
        <f t="shared" si="0"/>
        <v>8.0601594612896311E-5</v>
      </c>
      <c r="P6" s="1">
        <f t="shared" si="1"/>
        <v>6.4653685518366019E-7</v>
      </c>
      <c r="Q6" s="1">
        <f t="shared" si="2"/>
        <v>2.1551228506122008E-7</v>
      </c>
    </row>
    <row r="7" spans="1:17" x14ac:dyDescent="0.35">
      <c r="A7" s="1">
        <v>2010</v>
      </c>
      <c r="B7" s="1" t="s">
        <v>25</v>
      </c>
      <c r="C7" s="1">
        <v>4640106.71</v>
      </c>
      <c r="D7" s="1">
        <v>2</v>
      </c>
      <c r="E7" s="1">
        <v>210</v>
      </c>
      <c r="F7" s="1">
        <v>2</v>
      </c>
      <c r="G7" s="1">
        <f>86 +108</f>
        <v>194</v>
      </c>
      <c r="H7" s="1">
        <v>910</v>
      </c>
      <c r="I7" s="1">
        <v>5</v>
      </c>
      <c r="J7" s="1">
        <v>0</v>
      </c>
      <c r="K7" s="1">
        <v>1</v>
      </c>
      <c r="L7" s="1">
        <v>1</v>
      </c>
      <c r="M7" s="1">
        <v>0</v>
      </c>
      <c r="N7" s="1">
        <v>108</v>
      </c>
      <c r="O7" s="1">
        <f t="shared" si="0"/>
        <v>2.3835658727770941E-4</v>
      </c>
      <c r="P7" s="1">
        <f t="shared" si="1"/>
        <v>1.0775614253061003E-6</v>
      </c>
      <c r="Q7" s="1">
        <f t="shared" si="2"/>
        <v>2.1551228506122008E-7</v>
      </c>
    </row>
    <row r="8" spans="1:17" x14ac:dyDescent="0.35">
      <c r="A8" s="1">
        <v>2011</v>
      </c>
      <c r="B8" s="1" t="s">
        <v>25</v>
      </c>
      <c r="C8" s="1">
        <v>4640106.71</v>
      </c>
      <c r="D8" s="1">
        <v>3</v>
      </c>
      <c r="E8" s="1">
        <v>210</v>
      </c>
      <c r="F8" s="1">
        <v>0</v>
      </c>
      <c r="G8" s="1">
        <f>113 +101</f>
        <v>214</v>
      </c>
      <c r="H8" s="1" t="s">
        <v>16</v>
      </c>
      <c r="I8" s="1">
        <v>3</v>
      </c>
      <c r="J8" s="1">
        <v>0</v>
      </c>
      <c r="K8" s="1">
        <v>1</v>
      </c>
      <c r="L8" s="1">
        <v>1</v>
      </c>
      <c r="M8" s="1">
        <v>0</v>
      </c>
      <c r="N8" s="1">
        <v>101</v>
      </c>
      <c r="O8" s="1">
        <f t="shared" si="0"/>
        <v>4.6119629003101093E-5</v>
      </c>
      <c r="P8" s="1">
        <f t="shared" si="1"/>
        <v>6.4653685518366019E-7</v>
      </c>
      <c r="Q8" s="1">
        <f t="shared" si="2"/>
        <v>2.1551228506122008E-7</v>
      </c>
    </row>
    <row r="9" spans="1:17" x14ac:dyDescent="0.35">
      <c r="A9" s="1">
        <v>2012</v>
      </c>
      <c r="B9" s="1" t="s">
        <v>25</v>
      </c>
      <c r="C9" s="1">
        <v>4640106.71</v>
      </c>
      <c r="D9" s="1">
        <v>1</v>
      </c>
      <c r="E9" s="1">
        <v>210</v>
      </c>
      <c r="F9" s="1">
        <v>0</v>
      </c>
      <c r="G9" s="1">
        <v>157</v>
      </c>
      <c r="H9" s="1" t="s">
        <v>16</v>
      </c>
      <c r="I9" s="1">
        <v>2</v>
      </c>
      <c r="J9" s="1">
        <v>0</v>
      </c>
      <c r="K9" s="1">
        <v>1</v>
      </c>
      <c r="L9" s="1">
        <v>0</v>
      </c>
      <c r="O9" s="1">
        <f t="shared" si="0"/>
        <v>3.3835428754611551E-5</v>
      </c>
      <c r="P9" s="1">
        <f t="shared" si="1"/>
        <v>4.3102457012244016E-7</v>
      </c>
      <c r="Q9" s="1">
        <f t="shared" si="2"/>
        <v>2.1551228506122008E-7</v>
      </c>
    </row>
    <row r="10" spans="1:17" x14ac:dyDescent="0.35">
      <c r="A10" s="1">
        <v>2013</v>
      </c>
      <c r="B10" s="1" t="s">
        <v>25</v>
      </c>
      <c r="C10" s="1">
        <v>4640106.71</v>
      </c>
      <c r="D10" s="1">
        <v>2</v>
      </c>
      <c r="E10" s="1">
        <v>210</v>
      </c>
      <c r="F10" s="1">
        <v>0</v>
      </c>
      <c r="G10" s="1">
        <v>48</v>
      </c>
      <c r="H10" s="1" t="s">
        <v>16</v>
      </c>
      <c r="I10" s="1">
        <v>5</v>
      </c>
      <c r="J10" s="1">
        <v>1</v>
      </c>
      <c r="K10" s="1">
        <v>1</v>
      </c>
      <c r="L10" s="1">
        <v>0</v>
      </c>
      <c r="O10" s="1">
        <f t="shared" si="0"/>
        <v>1.0344589682938563E-5</v>
      </c>
      <c r="P10" s="1">
        <f t="shared" si="1"/>
        <v>1.0775614253061003E-6</v>
      </c>
      <c r="Q10" s="1">
        <f t="shared" si="2"/>
        <v>2.1551228506122008E-7</v>
      </c>
    </row>
    <row r="11" spans="1:17" x14ac:dyDescent="0.35">
      <c r="A11" s="1">
        <v>2014</v>
      </c>
      <c r="B11" s="1" t="s">
        <v>25</v>
      </c>
      <c r="C11" s="1">
        <v>4640106.71</v>
      </c>
      <c r="D11" s="1">
        <v>1</v>
      </c>
      <c r="E11" s="1">
        <v>724</v>
      </c>
      <c r="F11" s="1">
        <v>1</v>
      </c>
      <c r="G11" s="1">
        <v>101</v>
      </c>
      <c r="H11" s="1" t="s">
        <v>16</v>
      </c>
      <c r="I11" s="1">
        <v>6</v>
      </c>
      <c r="J11" s="1">
        <v>1</v>
      </c>
      <c r="K11" s="1">
        <v>1</v>
      </c>
      <c r="L11" s="1">
        <v>0</v>
      </c>
      <c r="O11" s="1">
        <f t="shared" si="0"/>
        <v>2.1982253076244447E-5</v>
      </c>
      <c r="P11" s="1">
        <f t="shared" si="1"/>
        <v>1.2930737103673204E-6</v>
      </c>
      <c r="Q11" s="1">
        <f t="shared" si="2"/>
        <v>2.1551228506122008E-7</v>
      </c>
    </row>
    <row r="12" spans="1:17" x14ac:dyDescent="0.35">
      <c r="A12" s="1">
        <v>2015</v>
      </c>
      <c r="B12" s="1" t="s">
        <v>25</v>
      </c>
      <c r="C12" s="1">
        <v>4640106.71</v>
      </c>
      <c r="D12" s="1">
        <v>1</v>
      </c>
      <c r="E12" s="1">
        <v>724</v>
      </c>
      <c r="F12" s="1">
        <v>0</v>
      </c>
      <c r="G12" s="1">
        <v>122</v>
      </c>
      <c r="H12" s="1" t="s">
        <v>16</v>
      </c>
      <c r="I12" s="1">
        <v>2</v>
      </c>
      <c r="J12" s="1">
        <v>0</v>
      </c>
      <c r="K12" s="1">
        <v>1</v>
      </c>
      <c r="L12" s="1">
        <v>0</v>
      </c>
      <c r="O12" s="1">
        <f t="shared" si="0"/>
        <v>2.6292498777468849E-5</v>
      </c>
      <c r="P12" s="1">
        <f t="shared" si="1"/>
        <v>4.3102457012244016E-7</v>
      </c>
      <c r="Q12" s="1">
        <f t="shared" si="2"/>
        <v>2.1551228506122008E-7</v>
      </c>
    </row>
    <row r="13" spans="1:17" x14ac:dyDescent="0.35">
      <c r="A13" s="1">
        <v>2016</v>
      </c>
      <c r="B13" s="1" t="s">
        <v>25</v>
      </c>
      <c r="C13" s="1">
        <v>4640106.71</v>
      </c>
      <c r="D13" s="1">
        <v>3</v>
      </c>
      <c r="E13" s="1">
        <v>660</v>
      </c>
      <c r="F13" s="1">
        <v>1</v>
      </c>
      <c r="G13" s="1">
        <v>400</v>
      </c>
      <c r="H13" s="1" t="s">
        <v>16</v>
      </c>
      <c r="I13" s="1">
        <v>49</v>
      </c>
      <c r="J13" s="1">
        <v>1</v>
      </c>
      <c r="K13" s="1">
        <v>2</v>
      </c>
      <c r="L13" s="1">
        <v>0</v>
      </c>
      <c r="O13" s="1">
        <f t="shared" si="0"/>
        <v>8.6420426309549242E-5</v>
      </c>
      <c r="P13" s="1">
        <f t="shared" si="1"/>
        <v>1.0560101967999784E-5</v>
      </c>
      <c r="Q13" s="1">
        <f t="shared" si="2"/>
        <v>4.3102457012244016E-7</v>
      </c>
    </row>
    <row r="14" spans="1:17" x14ac:dyDescent="0.35">
      <c r="A14" s="1">
        <v>2017</v>
      </c>
      <c r="B14" s="1" t="s">
        <v>25</v>
      </c>
      <c r="C14" s="1">
        <v>4640106.71</v>
      </c>
      <c r="D14" s="1">
        <v>3</v>
      </c>
      <c r="E14" s="1">
        <v>660</v>
      </c>
      <c r="F14" s="1">
        <v>2</v>
      </c>
      <c r="G14" s="1">
        <v>206</v>
      </c>
      <c r="H14" s="1" t="s">
        <v>16</v>
      </c>
      <c r="I14" s="1">
        <v>26</v>
      </c>
      <c r="J14" s="1">
        <v>1</v>
      </c>
      <c r="K14" s="1">
        <v>2</v>
      </c>
      <c r="L14" s="1">
        <v>0</v>
      </c>
      <c r="O14" s="1">
        <f t="shared" si="0"/>
        <v>4.4826555292733772E-5</v>
      </c>
      <c r="P14" s="1">
        <f t="shared" si="1"/>
        <v>5.6033194115917215E-6</v>
      </c>
      <c r="Q14" s="1">
        <f t="shared" si="2"/>
        <v>4.3102457012244016E-7</v>
      </c>
    </row>
    <row r="15" spans="1:17" x14ac:dyDescent="0.35">
      <c r="A15" s="1">
        <v>2018</v>
      </c>
      <c r="B15" s="1" t="s">
        <v>25</v>
      </c>
      <c r="C15" s="1">
        <v>4640106.71</v>
      </c>
      <c r="D15" s="1">
        <v>4</v>
      </c>
      <c r="E15" s="1">
        <v>545</v>
      </c>
      <c r="F15" s="1">
        <v>1</v>
      </c>
      <c r="G15" s="1">
        <v>264</v>
      </c>
      <c r="H15" s="1" t="s">
        <v>16</v>
      </c>
      <c r="I15" s="1">
        <v>35</v>
      </c>
      <c r="J15" s="1">
        <v>0</v>
      </c>
      <c r="K15" s="1">
        <v>2</v>
      </c>
      <c r="L15" s="1">
        <v>0</v>
      </c>
      <c r="O15" s="1">
        <f t="shared" si="0"/>
        <v>5.7110755541223322E-5</v>
      </c>
      <c r="P15" s="1">
        <f t="shared" si="1"/>
        <v>7.5429299771427022E-6</v>
      </c>
      <c r="Q15" s="1">
        <f t="shared" si="2"/>
        <v>4.3102457012244016E-7</v>
      </c>
    </row>
    <row r="16" spans="1:17" x14ac:dyDescent="0.35">
      <c r="A16" s="1">
        <v>2019</v>
      </c>
      <c r="B16" s="1" t="s">
        <v>25</v>
      </c>
      <c r="C16" s="1">
        <v>4640106.71</v>
      </c>
      <c r="D16" s="1" t="s">
        <v>16</v>
      </c>
      <c r="E16" s="1">
        <v>579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>
        <v>0</v>
      </c>
      <c r="O16" s="1">
        <v>0</v>
      </c>
      <c r="P16" s="1">
        <v>0</v>
      </c>
      <c r="Q16" s="1">
        <v>0</v>
      </c>
    </row>
    <row r="17" spans="1:17" x14ac:dyDescent="0.35">
      <c r="A17" s="1">
        <v>2020</v>
      </c>
      <c r="B17" s="1" t="s">
        <v>25</v>
      </c>
      <c r="C17" s="1">
        <v>4640106.71</v>
      </c>
      <c r="D17" s="1" t="s">
        <v>16</v>
      </c>
      <c r="E17" s="1">
        <v>583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>
        <v>0</v>
      </c>
      <c r="O17" s="1">
        <v>0</v>
      </c>
      <c r="P17" s="1">
        <v>0</v>
      </c>
      <c r="Q17" s="1">
        <v>0</v>
      </c>
    </row>
    <row r="18" spans="1:17" x14ac:dyDescent="0.35">
      <c r="A18" s="1">
        <v>2021</v>
      </c>
      <c r="B18" s="1" t="s">
        <v>25</v>
      </c>
      <c r="C18" s="1">
        <v>4640106.71</v>
      </c>
      <c r="D18" s="1" t="s">
        <v>16</v>
      </c>
      <c r="E18" s="1">
        <v>583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>
        <v>0</v>
      </c>
      <c r="O18" s="1">
        <v>0</v>
      </c>
      <c r="P18" s="1">
        <v>0</v>
      </c>
      <c r="Q18" s="1">
        <v>0</v>
      </c>
    </row>
    <row r="19" spans="1:17" x14ac:dyDescent="0.35">
      <c r="A19" s="1">
        <v>2022</v>
      </c>
      <c r="B19" s="1" t="s">
        <v>25</v>
      </c>
      <c r="C19" s="1">
        <v>4640106.71</v>
      </c>
      <c r="D19" s="1" t="s">
        <v>16</v>
      </c>
      <c r="E19" s="1">
        <v>583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>
        <v>0</v>
      </c>
      <c r="O19" s="1">
        <v>0</v>
      </c>
      <c r="P19" s="1">
        <v>0</v>
      </c>
      <c r="Q19" s="1">
        <v>0</v>
      </c>
    </row>
    <row r="20" spans="1:17" x14ac:dyDescent="0.35">
      <c r="A20" s="1">
        <v>2003</v>
      </c>
      <c r="B20" s="1" t="s">
        <v>14</v>
      </c>
      <c r="C20" s="1">
        <v>1585062.37</v>
      </c>
      <c r="D20" s="1">
        <v>1</v>
      </c>
      <c r="E20" s="1" t="s">
        <v>16</v>
      </c>
      <c r="F20" s="1">
        <v>0</v>
      </c>
      <c r="G20" s="1">
        <v>112</v>
      </c>
      <c r="H20" s="1" t="s">
        <v>16</v>
      </c>
      <c r="I20" s="1">
        <v>12</v>
      </c>
      <c r="J20" s="1">
        <v>1</v>
      </c>
      <c r="K20" s="1">
        <v>1</v>
      </c>
      <c r="L20" s="1">
        <v>0</v>
      </c>
      <c r="O20" s="1">
        <f t="shared" si="0"/>
        <v>7.0659680098266416E-5</v>
      </c>
      <c r="P20" s="1">
        <f t="shared" si="1"/>
        <v>7.5706800105285438E-6</v>
      </c>
      <c r="Q20" s="1">
        <f t="shared" si="2"/>
        <v>6.3089000087737865E-7</v>
      </c>
    </row>
    <row r="21" spans="1:17" x14ac:dyDescent="0.35">
      <c r="A21" s="1">
        <v>2004</v>
      </c>
      <c r="B21" s="1" t="s">
        <v>14</v>
      </c>
      <c r="C21" s="1">
        <v>1585062.37</v>
      </c>
      <c r="D21" s="1">
        <v>1</v>
      </c>
      <c r="E21" s="1">
        <v>500</v>
      </c>
      <c r="F21" s="1">
        <v>0</v>
      </c>
      <c r="G21" s="1">
        <v>20</v>
      </c>
      <c r="H21" s="1">
        <v>197</v>
      </c>
      <c r="I21" s="1">
        <v>1</v>
      </c>
      <c r="J21" s="1">
        <v>1</v>
      </c>
      <c r="K21" s="1">
        <v>1</v>
      </c>
      <c r="L21" s="1">
        <v>0</v>
      </c>
      <c r="O21" s="1">
        <f t="shared" si="0"/>
        <v>1.3690313019039117E-4</v>
      </c>
      <c r="P21" s="1">
        <f t="shared" si="1"/>
        <v>6.3089000087737865E-7</v>
      </c>
      <c r="Q21" s="1">
        <f t="shared" si="2"/>
        <v>6.3089000087737865E-7</v>
      </c>
    </row>
    <row r="22" spans="1:17" x14ac:dyDescent="0.35">
      <c r="A22" s="1">
        <v>2005</v>
      </c>
      <c r="B22" s="1" t="s">
        <v>14</v>
      </c>
      <c r="C22" s="1">
        <v>1585062.37</v>
      </c>
      <c r="D22" s="1">
        <v>4</v>
      </c>
      <c r="E22" s="1">
        <v>780</v>
      </c>
      <c r="F22" s="1">
        <v>1</v>
      </c>
      <c r="G22" s="1">
        <v>125</v>
      </c>
      <c r="H22" s="1">
        <v>86</v>
      </c>
      <c r="I22" s="1">
        <v>19</v>
      </c>
      <c r="J22" s="1">
        <v>3</v>
      </c>
      <c r="K22" s="1">
        <v>2</v>
      </c>
      <c r="L22" s="1">
        <v>0</v>
      </c>
      <c r="O22" s="1">
        <f t="shared" si="0"/>
        <v>1.3374868018600428E-4</v>
      </c>
      <c r="P22" s="1">
        <f t="shared" si="1"/>
        <v>1.1986910016670196E-5</v>
      </c>
      <c r="Q22" s="1">
        <f t="shared" si="2"/>
        <v>1.2617800017547573E-6</v>
      </c>
    </row>
    <row r="23" spans="1:17" x14ac:dyDescent="0.35">
      <c r="A23" s="1">
        <v>2006</v>
      </c>
      <c r="B23" s="1" t="s">
        <v>14</v>
      </c>
      <c r="C23" s="1">
        <v>1585062.37</v>
      </c>
      <c r="D23" s="1">
        <v>3</v>
      </c>
      <c r="E23" s="1">
        <v>780</v>
      </c>
      <c r="F23" s="1">
        <v>0</v>
      </c>
      <c r="G23" s="1">
        <v>164</v>
      </c>
      <c r="H23" s="1">
        <v>192</v>
      </c>
      <c r="I23" s="1">
        <v>4</v>
      </c>
      <c r="J23" s="1">
        <v>1</v>
      </c>
      <c r="K23" s="1">
        <v>1</v>
      </c>
      <c r="L23" s="1">
        <v>0</v>
      </c>
      <c r="O23" s="1">
        <f t="shared" si="0"/>
        <v>2.2459684031234681E-4</v>
      </c>
      <c r="P23" s="1">
        <f t="shared" si="1"/>
        <v>2.5235600035095146E-6</v>
      </c>
      <c r="Q23" s="1">
        <f t="shared" si="2"/>
        <v>6.3089000087737865E-7</v>
      </c>
    </row>
    <row r="24" spans="1:17" x14ac:dyDescent="0.35">
      <c r="A24" s="1">
        <v>2007</v>
      </c>
      <c r="B24" s="1" t="s">
        <v>14</v>
      </c>
      <c r="C24" s="1">
        <v>1585062.37</v>
      </c>
      <c r="D24" s="1">
        <v>3</v>
      </c>
      <c r="E24" s="1">
        <v>780</v>
      </c>
      <c r="F24" s="1">
        <v>0</v>
      </c>
      <c r="G24" s="1">
        <v>124</v>
      </c>
      <c r="H24" s="1">
        <v>288</v>
      </c>
      <c r="I24" s="1">
        <v>7</v>
      </c>
      <c r="J24" s="1">
        <v>1</v>
      </c>
      <c r="K24" s="1">
        <v>1</v>
      </c>
      <c r="L24" s="1">
        <v>0</v>
      </c>
      <c r="O24" s="1">
        <f t="shared" si="0"/>
        <v>2.5992668036148E-4</v>
      </c>
      <c r="P24" s="1">
        <f t="shared" si="1"/>
        <v>4.416230006141651E-6</v>
      </c>
      <c r="Q24" s="1">
        <f t="shared" si="2"/>
        <v>6.3089000087737865E-7</v>
      </c>
    </row>
    <row r="25" spans="1:17" x14ac:dyDescent="0.35">
      <c r="A25" s="1">
        <v>2008</v>
      </c>
      <c r="B25" s="1" t="s">
        <v>14</v>
      </c>
      <c r="C25" s="1">
        <v>1585062.37</v>
      </c>
      <c r="D25" s="1">
        <v>3</v>
      </c>
      <c r="E25" s="1">
        <v>780</v>
      </c>
      <c r="F25" s="1">
        <v>0</v>
      </c>
      <c r="G25" s="1">
        <v>216</v>
      </c>
      <c r="H25" s="1">
        <v>0</v>
      </c>
      <c r="I25" s="1">
        <v>12</v>
      </c>
      <c r="J25" s="1">
        <v>1</v>
      </c>
      <c r="K25" s="1">
        <v>1</v>
      </c>
      <c r="L25" s="1">
        <v>0</v>
      </c>
      <c r="O25" s="1">
        <f t="shared" si="0"/>
        <v>1.3627224018951379E-4</v>
      </c>
      <c r="P25" s="1">
        <f t="shared" si="1"/>
        <v>7.5706800105285438E-6</v>
      </c>
      <c r="Q25" s="1">
        <f t="shared" si="2"/>
        <v>6.3089000087737865E-7</v>
      </c>
    </row>
    <row r="26" spans="1:17" x14ac:dyDescent="0.35">
      <c r="A26" s="1">
        <v>2009</v>
      </c>
      <c r="B26" s="1" t="s">
        <v>14</v>
      </c>
      <c r="C26" s="1">
        <v>1585062.37</v>
      </c>
      <c r="D26" s="1">
        <v>2</v>
      </c>
      <c r="E26" s="1">
        <v>70</v>
      </c>
      <c r="F26" s="1">
        <v>0</v>
      </c>
      <c r="G26" s="1">
        <f>19+47</f>
        <v>66</v>
      </c>
      <c r="H26" s="1">
        <v>176</v>
      </c>
      <c r="I26" s="1">
        <v>1</v>
      </c>
      <c r="J26" s="1">
        <v>0</v>
      </c>
      <c r="K26" s="1">
        <v>1</v>
      </c>
      <c r="L26" s="1">
        <v>1</v>
      </c>
      <c r="M26" s="1">
        <v>0</v>
      </c>
      <c r="N26" s="1">
        <v>47</v>
      </c>
      <c r="O26" s="1">
        <f t="shared" si="0"/>
        <v>1.5267538021232564E-4</v>
      </c>
      <c r="P26" s="1">
        <f t="shared" si="1"/>
        <v>6.3089000087737865E-7</v>
      </c>
      <c r="Q26" s="1">
        <f t="shared" si="2"/>
        <v>6.3089000087737865E-7</v>
      </c>
    </row>
    <row r="27" spans="1:17" x14ac:dyDescent="0.35">
      <c r="A27" s="1">
        <v>2010</v>
      </c>
      <c r="B27" s="1" t="s">
        <v>14</v>
      </c>
      <c r="C27" s="1">
        <v>1585062.37</v>
      </c>
      <c r="D27" s="1">
        <v>1</v>
      </c>
      <c r="E27" s="1">
        <v>70</v>
      </c>
      <c r="F27" s="1">
        <v>0</v>
      </c>
      <c r="G27" s="1">
        <v>93</v>
      </c>
      <c r="H27" s="1">
        <v>432</v>
      </c>
      <c r="I27" s="1">
        <v>1</v>
      </c>
      <c r="J27" s="1">
        <v>1</v>
      </c>
      <c r="K27" s="1">
        <v>1</v>
      </c>
      <c r="L27" s="1">
        <v>1</v>
      </c>
      <c r="M27" s="1">
        <v>0</v>
      </c>
      <c r="N27" s="1">
        <v>93</v>
      </c>
      <c r="O27" s="1">
        <f t="shared" si="0"/>
        <v>3.3121725046062378E-4</v>
      </c>
      <c r="P27" s="1">
        <f t="shared" si="1"/>
        <v>6.3089000087737865E-7</v>
      </c>
      <c r="Q27" s="1">
        <f t="shared" si="2"/>
        <v>6.3089000087737865E-7</v>
      </c>
    </row>
    <row r="28" spans="1:17" x14ac:dyDescent="0.35">
      <c r="A28" s="1">
        <v>2011</v>
      </c>
      <c r="B28" s="1" t="s">
        <v>14</v>
      </c>
      <c r="C28" s="1">
        <v>1585062.37</v>
      </c>
      <c r="D28" s="1">
        <v>1</v>
      </c>
      <c r="E28" s="1">
        <v>70</v>
      </c>
      <c r="F28" s="1">
        <v>0</v>
      </c>
      <c r="G28" s="1">
        <v>136</v>
      </c>
      <c r="H28" s="1" t="s">
        <v>16</v>
      </c>
      <c r="I28" s="1">
        <v>1</v>
      </c>
      <c r="J28" s="1">
        <v>0</v>
      </c>
      <c r="K28" s="1">
        <v>1</v>
      </c>
      <c r="L28" s="1">
        <v>1</v>
      </c>
      <c r="M28" s="1">
        <v>0</v>
      </c>
      <c r="N28" s="1">
        <v>136</v>
      </c>
      <c r="O28" s="1">
        <f t="shared" si="0"/>
        <v>8.58010401193235E-5</v>
      </c>
      <c r="P28" s="1">
        <f t="shared" si="1"/>
        <v>6.3089000087737865E-7</v>
      </c>
      <c r="Q28" s="1">
        <f t="shared" si="2"/>
        <v>6.3089000087737865E-7</v>
      </c>
    </row>
    <row r="29" spans="1:17" x14ac:dyDescent="0.35">
      <c r="A29" s="1">
        <v>2012</v>
      </c>
      <c r="B29" s="1" t="s">
        <v>14</v>
      </c>
      <c r="C29" s="1">
        <v>1585062.37</v>
      </c>
      <c r="D29" s="1">
        <v>2</v>
      </c>
      <c r="E29" s="1">
        <v>70</v>
      </c>
      <c r="F29" s="1">
        <v>0</v>
      </c>
      <c r="G29" s="1">
        <v>53</v>
      </c>
      <c r="H29" s="1" t="s">
        <v>16</v>
      </c>
      <c r="I29" s="1">
        <v>1</v>
      </c>
      <c r="J29" s="1">
        <v>0</v>
      </c>
      <c r="K29" s="1">
        <v>1</v>
      </c>
      <c r="L29" s="1">
        <v>0</v>
      </c>
      <c r="O29" s="1">
        <f t="shared" si="0"/>
        <v>3.3437170046501069E-5</v>
      </c>
      <c r="P29" s="1">
        <f t="shared" si="1"/>
        <v>6.3089000087737865E-7</v>
      </c>
      <c r="Q29" s="1">
        <f t="shared" si="2"/>
        <v>6.3089000087737865E-7</v>
      </c>
    </row>
    <row r="30" spans="1:17" x14ac:dyDescent="0.35">
      <c r="A30" s="1">
        <v>2013</v>
      </c>
      <c r="B30" s="1" t="s">
        <v>14</v>
      </c>
      <c r="C30" s="1">
        <v>1585062.37</v>
      </c>
      <c r="D30" s="1">
        <v>1</v>
      </c>
      <c r="E30" s="1">
        <v>70</v>
      </c>
      <c r="F30" s="1">
        <v>0</v>
      </c>
      <c r="G30" s="1">
        <v>4</v>
      </c>
      <c r="H30" s="1" t="s">
        <v>16</v>
      </c>
      <c r="I30" s="1">
        <v>1</v>
      </c>
      <c r="J30" s="1">
        <v>0</v>
      </c>
      <c r="K30" s="1">
        <v>1</v>
      </c>
      <c r="L30" s="1">
        <v>0</v>
      </c>
      <c r="O30" s="1">
        <f t="shared" si="0"/>
        <v>2.5235600035095146E-6</v>
      </c>
      <c r="P30" s="1">
        <f t="shared" si="1"/>
        <v>6.3089000087737865E-7</v>
      </c>
      <c r="Q30" s="1">
        <f t="shared" si="2"/>
        <v>6.3089000087737865E-7</v>
      </c>
    </row>
    <row r="31" spans="1:17" x14ac:dyDescent="0.35">
      <c r="A31" s="1">
        <v>2014</v>
      </c>
      <c r="B31" s="1" t="s">
        <v>14</v>
      </c>
      <c r="C31" s="1">
        <v>1585062.37</v>
      </c>
      <c r="D31" s="1" t="s">
        <v>16</v>
      </c>
      <c r="E31" s="1">
        <v>35</v>
      </c>
      <c r="F31" s="1" t="s">
        <v>16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>
        <v>0</v>
      </c>
      <c r="O31" s="1">
        <v>0</v>
      </c>
      <c r="P31" s="1">
        <v>0</v>
      </c>
      <c r="Q31" s="1">
        <v>0</v>
      </c>
    </row>
    <row r="32" spans="1:17" x14ac:dyDescent="0.35">
      <c r="A32" s="1">
        <v>2015</v>
      </c>
      <c r="B32" s="1" t="s">
        <v>14</v>
      </c>
      <c r="C32" s="1">
        <v>1585062.37</v>
      </c>
      <c r="D32" s="1">
        <v>1</v>
      </c>
      <c r="E32" s="1">
        <v>35</v>
      </c>
      <c r="F32" s="1">
        <v>0</v>
      </c>
      <c r="G32" s="1">
        <v>10</v>
      </c>
      <c r="H32" s="1" t="s">
        <v>16</v>
      </c>
      <c r="I32" s="1">
        <v>1</v>
      </c>
      <c r="J32" s="1">
        <v>0</v>
      </c>
      <c r="K32" s="1">
        <v>1</v>
      </c>
      <c r="L32" s="1">
        <v>0</v>
      </c>
      <c r="O32" s="1">
        <f t="shared" si="0"/>
        <v>6.3089000087737865E-6</v>
      </c>
      <c r="P32" s="1">
        <f t="shared" si="1"/>
        <v>6.3089000087737865E-7</v>
      </c>
      <c r="Q32" s="1">
        <f t="shared" si="2"/>
        <v>6.3089000087737865E-7</v>
      </c>
    </row>
    <row r="33" spans="1:17" x14ac:dyDescent="0.35">
      <c r="A33" s="1">
        <v>2016</v>
      </c>
      <c r="B33" s="1" t="s">
        <v>14</v>
      </c>
      <c r="C33" s="1">
        <v>1585062.37</v>
      </c>
      <c r="D33" s="1" t="s">
        <v>16</v>
      </c>
      <c r="E33" s="1">
        <v>35</v>
      </c>
      <c r="F33" s="1" t="s">
        <v>16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>
        <v>0</v>
      </c>
      <c r="O33" s="1">
        <v>0</v>
      </c>
      <c r="P33" s="1">
        <v>0</v>
      </c>
      <c r="Q33" s="1">
        <v>0</v>
      </c>
    </row>
    <row r="34" spans="1:17" x14ac:dyDescent="0.35">
      <c r="A34" s="1">
        <v>2017</v>
      </c>
      <c r="B34" s="1" t="s">
        <v>14</v>
      </c>
      <c r="C34" s="1">
        <v>1585062.37</v>
      </c>
      <c r="D34" s="1">
        <v>2</v>
      </c>
      <c r="E34" s="1">
        <v>35</v>
      </c>
      <c r="F34" s="1">
        <v>0</v>
      </c>
      <c r="G34" s="1">
        <v>35</v>
      </c>
      <c r="H34" s="1" t="s">
        <v>16</v>
      </c>
      <c r="I34" s="1">
        <v>1</v>
      </c>
      <c r="J34" s="1">
        <v>0</v>
      </c>
      <c r="K34" s="1">
        <v>1</v>
      </c>
      <c r="L34" s="1">
        <v>0</v>
      </c>
      <c r="O34" s="1">
        <f t="shared" si="0"/>
        <v>2.2081150030708252E-5</v>
      </c>
      <c r="P34" s="1">
        <f t="shared" si="1"/>
        <v>6.3089000087737865E-7</v>
      </c>
      <c r="Q34" s="1">
        <f t="shared" si="2"/>
        <v>6.3089000087737865E-7</v>
      </c>
    </row>
    <row r="35" spans="1:17" x14ac:dyDescent="0.35">
      <c r="A35" s="1">
        <v>2018</v>
      </c>
      <c r="B35" s="1" t="s">
        <v>14</v>
      </c>
      <c r="C35" s="1">
        <v>1585062.37</v>
      </c>
      <c r="D35" s="1">
        <v>2</v>
      </c>
      <c r="E35" s="1">
        <v>42</v>
      </c>
      <c r="F35" s="1">
        <v>0</v>
      </c>
      <c r="G35" s="1">
        <v>42</v>
      </c>
      <c r="H35" s="1" t="s">
        <v>16</v>
      </c>
      <c r="I35" s="1">
        <v>5</v>
      </c>
      <c r="J35" s="1">
        <v>1</v>
      </c>
      <c r="K35" s="1">
        <v>1</v>
      </c>
      <c r="L35" s="1">
        <v>0</v>
      </c>
      <c r="O35" s="1">
        <f t="shared" si="0"/>
        <v>2.6497380036849904E-5</v>
      </c>
      <c r="P35" s="1">
        <f t="shared" si="1"/>
        <v>3.1544500043868933E-6</v>
      </c>
      <c r="Q35" s="1">
        <f t="shared" si="2"/>
        <v>6.3089000087737865E-7</v>
      </c>
    </row>
    <row r="36" spans="1:17" x14ac:dyDescent="0.35">
      <c r="A36" s="1">
        <v>2019</v>
      </c>
      <c r="B36" s="1" t="s">
        <v>14</v>
      </c>
      <c r="C36" s="1">
        <v>1585062.37</v>
      </c>
      <c r="D36" s="1">
        <v>2</v>
      </c>
      <c r="E36" s="1">
        <v>50</v>
      </c>
      <c r="F36" s="1">
        <v>0</v>
      </c>
      <c r="G36" s="1">
        <v>50</v>
      </c>
      <c r="H36" s="1" t="s">
        <v>16</v>
      </c>
      <c r="I36" s="1">
        <v>2</v>
      </c>
      <c r="J36" s="1">
        <v>1</v>
      </c>
      <c r="K36" s="1">
        <v>1</v>
      </c>
      <c r="L36" s="1">
        <v>0</v>
      </c>
      <c r="O36" s="1">
        <f t="shared" si="0"/>
        <v>3.1544500043868937E-5</v>
      </c>
      <c r="P36" s="1">
        <f t="shared" si="1"/>
        <v>1.2617800017547573E-6</v>
      </c>
      <c r="Q36" s="1">
        <f t="shared" si="2"/>
        <v>6.3089000087737865E-7</v>
      </c>
    </row>
    <row r="37" spans="1:17" x14ac:dyDescent="0.35">
      <c r="A37" s="1">
        <v>2020</v>
      </c>
      <c r="B37" s="1" t="s">
        <v>14</v>
      </c>
      <c r="C37" s="1">
        <v>1585062.37</v>
      </c>
      <c r="D37" s="1">
        <v>2</v>
      </c>
      <c r="E37" s="1">
        <v>60</v>
      </c>
      <c r="F37" s="1">
        <v>0</v>
      </c>
      <c r="G37" s="1">
        <v>58</v>
      </c>
      <c r="H37" s="1" t="s">
        <v>16</v>
      </c>
      <c r="I37" s="1">
        <v>2</v>
      </c>
      <c r="J37" s="1">
        <v>1</v>
      </c>
      <c r="K37" s="1">
        <v>1</v>
      </c>
      <c r="L37" s="1">
        <v>0</v>
      </c>
      <c r="O37" s="1">
        <f t="shared" si="0"/>
        <v>3.6591620050887963E-5</v>
      </c>
      <c r="P37" s="1">
        <f t="shared" si="1"/>
        <v>1.2617800017547573E-6</v>
      </c>
      <c r="Q37" s="1">
        <f t="shared" si="2"/>
        <v>6.3089000087737865E-7</v>
      </c>
    </row>
    <row r="38" spans="1:17" x14ac:dyDescent="0.35">
      <c r="A38" s="1">
        <v>2021</v>
      </c>
      <c r="B38" s="1" t="s">
        <v>14</v>
      </c>
      <c r="C38" s="1">
        <v>1585062.37</v>
      </c>
      <c r="D38" s="1">
        <v>1</v>
      </c>
      <c r="E38" s="1">
        <v>60</v>
      </c>
      <c r="F38" s="1">
        <v>0</v>
      </c>
      <c r="G38" s="1">
        <v>60</v>
      </c>
      <c r="H38" s="1" t="s">
        <v>16</v>
      </c>
      <c r="I38" s="1">
        <v>5</v>
      </c>
      <c r="J38" s="1">
        <v>1</v>
      </c>
      <c r="K38" s="1">
        <v>1</v>
      </c>
      <c r="L38" s="1">
        <v>0</v>
      </c>
      <c r="O38" s="1">
        <f t="shared" si="0"/>
        <v>3.7853400052642724E-5</v>
      </c>
      <c r="P38" s="1">
        <f t="shared" si="1"/>
        <v>3.1544500043868933E-6</v>
      </c>
      <c r="Q38" s="1">
        <f t="shared" si="2"/>
        <v>6.3089000087737865E-7</v>
      </c>
    </row>
    <row r="39" spans="1:17" x14ac:dyDescent="0.35">
      <c r="A39" s="1">
        <v>2022</v>
      </c>
      <c r="B39" s="1" t="s">
        <v>14</v>
      </c>
      <c r="C39" s="1">
        <v>1585062.37</v>
      </c>
      <c r="D39" s="1">
        <v>2</v>
      </c>
      <c r="E39" s="1">
        <v>127</v>
      </c>
      <c r="F39" s="1">
        <v>0</v>
      </c>
      <c r="G39" s="1">
        <v>104</v>
      </c>
      <c r="H39" s="1" t="s">
        <v>16</v>
      </c>
      <c r="I39" s="1">
        <v>12</v>
      </c>
      <c r="J39" s="1">
        <v>1</v>
      </c>
      <c r="K39" s="1">
        <v>3</v>
      </c>
      <c r="L39" s="1">
        <v>0</v>
      </c>
      <c r="O39" s="1">
        <f t="shared" si="0"/>
        <v>6.5612560091247383E-5</v>
      </c>
      <c r="P39" s="1">
        <f t="shared" si="1"/>
        <v>7.5706800105285438E-6</v>
      </c>
      <c r="Q39" s="1">
        <f t="shared" si="2"/>
        <v>1.892670002632136E-6</v>
      </c>
    </row>
    <row r="40" spans="1:17" x14ac:dyDescent="0.35">
      <c r="A40" s="1">
        <v>2004</v>
      </c>
      <c r="B40" s="1" t="s">
        <v>24</v>
      </c>
      <c r="C40" s="1">
        <v>679900.44</v>
      </c>
      <c r="D40" s="1">
        <v>1</v>
      </c>
      <c r="E40" s="1">
        <v>300</v>
      </c>
      <c r="F40" s="1">
        <v>1</v>
      </c>
      <c r="G40" s="1">
        <v>6</v>
      </c>
      <c r="H40" s="1" t="s">
        <v>16</v>
      </c>
      <c r="I40" s="1">
        <v>1</v>
      </c>
      <c r="J40" s="1">
        <v>1</v>
      </c>
      <c r="K40" s="1">
        <v>0</v>
      </c>
      <c r="L40" s="1">
        <v>0</v>
      </c>
      <c r="O40" s="1">
        <f t="shared" si="0"/>
        <v>1.0295625047690806E-5</v>
      </c>
      <c r="P40" s="1">
        <f t="shared" si="1"/>
        <v>1.4708035782415438E-6</v>
      </c>
      <c r="Q40" s="1">
        <f t="shared" si="2"/>
        <v>0</v>
      </c>
    </row>
    <row r="41" spans="1:17" x14ac:dyDescent="0.35">
      <c r="A41" s="1">
        <v>2005</v>
      </c>
      <c r="B41" s="1" t="s">
        <v>24</v>
      </c>
      <c r="C41" s="1">
        <v>679900.44</v>
      </c>
      <c r="D41" s="1">
        <v>4</v>
      </c>
      <c r="E41" s="1">
        <v>300</v>
      </c>
      <c r="F41" s="1">
        <v>0</v>
      </c>
      <c r="G41" s="1">
        <v>297</v>
      </c>
      <c r="H41" s="1">
        <v>1015</v>
      </c>
      <c r="I41" s="1">
        <v>7</v>
      </c>
      <c r="J41" s="1">
        <v>6</v>
      </c>
      <c r="K41" s="1">
        <v>1</v>
      </c>
      <c r="L41" s="1">
        <v>0</v>
      </c>
      <c r="O41" s="1">
        <f t="shared" si="0"/>
        <v>1.9296942946529056E-3</v>
      </c>
      <c r="P41" s="1">
        <f t="shared" si="1"/>
        <v>1.0295625047690806E-5</v>
      </c>
      <c r="Q41" s="1">
        <f t="shared" si="2"/>
        <v>1.4708035782415438E-6</v>
      </c>
    </row>
    <row r="42" spans="1:17" x14ac:dyDescent="0.35">
      <c r="A42" s="1">
        <v>2006</v>
      </c>
      <c r="B42" s="1" t="s">
        <v>24</v>
      </c>
      <c r="C42" s="1">
        <v>679900.44</v>
      </c>
      <c r="D42" s="1">
        <v>4</v>
      </c>
      <c r="E42" s="1">
        <v>300</v>
      </c>
      <c r="F42" s="1">
        <v>0</v>
      </c>
      <c r="G42" s="1">
        <v>360</v>
      </c>
      <c r="H42" s="1">
        <v>1903</v>
      </c>
      <c r="I42" s="1">
        <v>8</v>
      </c>
      <c r="J42" s="1">
        <v>1</v>
      </c>
      <c r="K42" s="1">
        <v>1</v>
      </c>
      <c r="L42" s="1">
        <v>0</v>
      </c>
      <c r="O42" s="1">
        <f t="shared" si="0"/>
        <v>3.3284284975606138E-3</v>
      </c>
      <c r="P42" s="1">
        <f t="shared" si="1"/>
        <v>1.176642862593235E-5</v>
      </c>
      <c r="Q42" s="1">
        <f t="shared" si="2"/>
        <v>1.4708035782415438E-6</v>
      </c>
    </row>
    <row r="43" spans="1:17" x14ac:dyDescent="0.35">
      <c r="A43" s="1">
        <v>2007</v>
      </c>
      <c r="B43" s="1" t="s">
        <v>24</v>
      </c>
      <c r="C43" s="1">
        <v>679900.44</v>
      </c>
      <c r="D43" s="1">
        <v>4</v>
      </c>
      <c r="E43" s="1">
        <v>300</v>
      </c>
      <c r="F43" s="1">
        <f>39 +35</f>
        <v>74</v>
      </c>
      <c r="G43" s="1">
        <f>173+ 3</f>
        <v>176</v>
      </c>
      <c r="H43" s="1">
        <v>3226</v>
      </c>
      <c r="I43" s="1">
        <v>10</v>
      </c>
      <c r="J43" s="1">
        <v>2</v>
      </c>
      <c r="K43" s="1">
        <v>1</v>
      </c>
      <c r="L43" s="1">
        <v>1</v>
      </c>
      <c r="M43" s="1">
        <v>35</v>
      </c>
      <c r="N43" s="1">
        <v>3</v>
      </c>
      <c r="O43" s="1">
        <f t="shared" si="0"/>
        <v>5.1125132379676065E-3</v>
      </c>
      <c r="P43" s="1">
        <f t="shared" si="1"/>
        <v>1.4708035782415439E-5</v>
      </c>
      <c r="Q43" s="1">
        <f t="shared" si="2"/>
        <v>1.4708035782415438E-6</v>
      </c>
    </row>
    <row r="44" spans="1:17" x14ac:dyDescent="0.35">
      <c r="A44" s="1">
        <v>2008</v>
      </c>
      <c r="B44" s="1" t="s">
        <v>24</v>
      </c>
      <c r="C44" s="1">
        <v>679900.44</v>
      </c>
      <c r="D44" s="1">
        <v>4</v>
      </c>
      <c r="E44" s="1">
        <v>200</v>
      </c>
      <c r="F44" s="1">
        <v>41</v>
      </c>
      <c r="G44" s="1">
        <v>100</v>
      </c>
      <c r="H44" s="1">
        <v>360</v>
      </c>
      <c r="I44" s="1">
        <v>9</v>
      </c>
      <c r="J44" s="1">
        <v>1</v>
      </c>
      <c r="K44" s="1">
        <v>2</v>
      </c>
      <c r="L44" s="1">
        <v>0</v>
      </c>
      <c r="O44" s="1">
        <f t="shared" si="0"/>
        <v>7.3687259269901342E-4</v>
      </c>
      <c r="P44" s="1">
        <f t="shared" si="1"/>
        <v>1.3237232204173894E-5</v>
      </c>
      <c r="Q44" s="1">
        <f t="shared" si="2"/>
        <v>2.9416071564830875E-6</v>
      </c>
    </row>
    <row r="45" spans="1:17" x14ac:dyDescent="0.35">
      <c r="A45" s="1">
        <v>2009</v>
      </c>
      <c r="B45" s="1" t="s">
        <v>24</v>
      </c>
      <c r="C45" s="1">
        <v>679900.44</v>
      </c>
      <c r="D45" s="1">
        <v>2</v>
      </c>
      <c r="E45" s="1">
        <v>120</v>
      </c>
      <c r="F45" s="1">
        <v>15</v>
      </c>
      <c r="G45" s="1">
        <v>89</v>
      </c>
      <c r="H45" s="1">
        <v>610</v>
      </c>
      <c r="I45" s="1">
        <v>4</v>
      </c>
      <c r="J45" s="1">
        <v>1</v>
      </c>
      <c r="K45" s="1">
        <v>1</v>
      </c>
      <c r="L45" s="1">
        <v>0</v>
      </c>
      <c r="O45" s="1">
        <f t="shared" si="0"/>
        <v>1.0501537548644622E-3</v>
      </c>
      <c r="P45" s="1">
        <f t="shared" si="1"/>
        <v>5.883214312966175E-6</v>
      </c>
      <c r="Q45" s="1">
        <f t="shared" si="2"/>
        <v>1.4708035782415438E-6</v>
      </c>
    </row>
    <row r="46" spans="1:17" x14ac:dyDescent="0.35">
      <c r="A46" s="1">
        <v>2010</v>
      </c>
      <c r="B46" s="1" t="s">
        <v>24</v>
      </c>
      <c r="C46" s="1">
        <v>679900.44</v>
      </c>
      <c r="D46" s="1">
        <v>1</v>
      </c>
      <c r="E46" s="1">
        <v>0</v>
      </c>
      <c r="F46" s="1">
        <v>2</v>
      </c>
      <c r="G46" s="1">
        <v>12</v>
      </c>
      <c r="H46" s="1">
        <v>171</v>
      </c>
      <c r="I46" s="1">
        <v>2</v>
      </c>
      <c r="J46" s="1">
        <v>1</v>
      </c>
      <c r="K46" s="1">
        <v>1</v>
      </c>
      <c r="L46" s="1">
        <v>0</v>
      </c>
      <c r="O46" s="1">
        <f t="shared" si="0"/>
        <v>2.7209866197468559E-4</v>
      </c>
      <c r="P46" s="1">
        <f t="shared" si="1"/>
        <v>2.9416071564830875E-6</v>
      </c>
      <c r="Q46" s="1">
        <f t="shared" si="2"/>
        <v>1.4708035782415438E-6</v>
      </c>
    </row>
    <row r="47" spans="1:17" x14ac:dyDescent="0.35">
      <c r="A47" s="1">
        <v>2011</v>
      </c>
      <c r="B47" s="1" t="s">
        <v>24</v>
      </c>
      <c r="C47" s="1">
        <v>679900.44</v>
      </c>
      <c r="D47" s="1">
        <v>1</v>
      </c>
      <c r="E47" s="1">
        <v>0</v>
      </c>
      <c r="F47" s="1">
        <v>2</v>
      </c>
      <c r="G47" s="1">
        <v>8</v>
      </c>
      <c r="H47" s="1" t="s">
        <v>16</v>
      </c>
      <c r="I47" s="1">
        <v>1</v>
      </c>
      <c r="J47" s="1">
        <v>1</v>
      </c>
      <c r="K47" s="1">
        <v>1</v>
      </c>
      <c r="L47" s="1">
        <v>0</v>
      </c>
      <c r="O47" s="1">
        <f t="shared" si="0"/>
        <v>1.4708035782415439E-5</v>
      </c>
      <c r="P47" s="1">
        <f t="shared" si="1"/>
        <v>1.4708035782415438E-6</v>
      </c>
      <c r="Q47" s="1">
        <f t="shared" si="2"/>
        <v>1.4708035782415438E-6</v>
      </c>
    </row>
    <row r="48" spans="1:17" x14ac:dyDescent="0.35">
      <c r="A48" s="1">
        <v>2012</v>
      </c>
      <c r="B48" s="1" t="s">
        <v>24</v>
      </c>
      <c r="C48" s="1">
        <v>679900.44</v>
      </c>
      <c r="D48" s="1">
        <v>1</v>
      </c>
      <c r="E48" s="1">
        <v>0</v>
      </c>
      <c r="F48" s="1">
        <v>5</v>
      </c>
      <c r="G48" s="1">
        <v>4</v>
      </c>
      <c r="H48" s="1" t="s">
        <v>16</v>
      </c>
      <c r="I48" s="1">
        <v>1</v>
      </c>
      <c r="J48" s="1">
        <v>1</v>
      </c>
      <c r="K48" s="1">
        <v>1</v>
      </c>
      <c r="L48" s="1">
        <v>0</v>
      </c>
      <c r="O48" s="1">
        <f t="shared" si="0"/>
        <v>1.3237232204173894E-5</v>
      </c>
      <c r="P48" s="1">
        <f t="shared" si="1"/>
        <v>1.4708035782415438E-6</v>
      </c>
      <c r="Q48" s="1">
        <f t="shared" si="2"/>
        <v>1.4708035782415438E-6</v>
      </c>
    </row>
    <row r="49" spans="1:17" x14ac:dyDescent="0.35">
      <c r="A49" s="1">
        <v>2013</v>
      </c>
      <c r="B49" s="1" t="s">
        <v>24</v>
      </c>
      <c r="C49" s="1">
        <v>679900.44</v>
      </c>
      <c r="D49" s="1" t="s">
        <v>16</v>
      </c>
      <c r="E49" s="1">
        <v>0</v>
      </c>
      <c r="F49" s="1" t="s">
        <v>16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>
        <v>0</v>
      </c>
      <c r="O49" s="1">
        <v>0</v>
      </c>
      <c r="P49" s="1">
        <v>0</v>
      </c>
      <c r="Q49" s="1">
        <v>0</v>
      </c>
    </row>
    <row r="50" spans="1:17" x14ac:dyDescent="0.35">
      <c r="A50" s="1">
        <v>2014</v>
      </c>
      <c r="B50" s="1" t="s">
        <v>24</v>
      </c>
      <c r="C50" s="1">
        <v>679900.44</v>
      </c>
      <c r="D50" s="1" t="s">
        <v>16</v>
      </c>
      <c r="E50" s="1">
        <v>0</v>
      </c>
      <c r="F50" s="1" t="s">
        <v>16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>
        <v>0</v>
      </c>
      <c r="O50" s="1">
        <v>0</v>
      </c>
      <c r="P50" s="1">
        <v>0</v>
      </c>
      <c r="Q50" s="1">
        <v>0</v>
      </c>
    </row>
    <row r="51" spans="1:17" x14ac:dyDescent="0.35">
      <c r="A51" s="1">
        <v>2015</v>
      </c>
      <c r="B51" s="1" t="s">
        <v>24</v>
      </c>
      <c r="C51" s="1">
        <v>679900.44</v>
      </c>
      <c r="D51" s="1" t="s">
        <v>16</v>
      </c>
      <c r="E51" s="1">
        <v>0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>
        <v>0</v>
      </c>
      <c r="O51" s="1">
        <v>0</v>
      </c>
      <c r="P51" s="1">
        <v>0</v>
      </c>
      <c r="Q51" s="1">
        <v>0</v>
      </c>
    </row>
    <row r="52" spans="1:17" x14ac:dyDescent="0.35">
      <c r="A52" s="1">
        <v>2016</v>
      </c>
      <c r="B52" s="1" t="s">
        <v>24</v>
      </c>
      <c r="C52" s="1">
        <v>679900.44</v>
      </c>
      <c r="D52" s="1" t="s">
        <v>16</v>
      </c>
      <c r="E52" s="1">
        <v>0</v>
      </c>
      <c r="F52" s="1" t="s">
        <v>16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>
        <v>0</v>
      </c>
      <c r="O52" s="1">
        <v>0</v>
      </c>
      <c r="P52" s="1">
        <v>0</v>
      </c>
      <c r="Q52" s="1">
        <v>0</v>
      </c>
    </row>
    <row r="53" spans="1:17" x14ac:dyDescent="0.35">
      <c r="A53" s="1">
        <v>2017</v>
      </c>
      <c r="B53" s="1" t="s">
        <v>24</v>
      </c>
      <c r="C53" s="1">
        <v>679900.44</v>
      </c>
      <c r="D53" s="1" t="s">
        <v>16</v>
      </c>
      <c r="E53" s="1">
        <v>0</v>
      </c>
      <c r="F53" s="1" t="s">
        <v>16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>
        <v>0</v>
      </c>
      <c r="O53" s="1">
        <v>0</v>
      </c>
      <c r="P53" s="1">
        <v>0</v>
      </c>
      <c r="Q53" s="1">
        <v>0</v>
      </c>
    </row>
    <row r="54" spans="1:17" x14ac:dyDescent="0.35">
      <c r="A54" s="1">
        <v>2018</v>
      </c>
      <c r="B54" s="1" t="s">
        <v>24</v>
      </c>
      <c r="C54" s="1">
        <v>679900.44</v>
      </c>
      <c r="D54" s="1" t="s">
        <v>16</v>
      </c>
      <c r="E54" s="1">
        <v>0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>
        <v>0</v>
      </c>
      <c r="O54" s="1">
        <v>0</v>
      </c>
      <c r="P54" s="1">
        <v>0</v>
      </c>
      <c r="Q54" s="1">
        <v>0</v>
      </c>
    </row>
    <row r="55" spans="1:17" x14ac:dyDescent="0.35">
      <c r="A55" s="1">
        <v>2019</v>
      </c>
      <c r="B55" s="1" t="s">
        <v>24</v>
      </c>
      <c r="C55" s="1">
        <v>679900.44</v>
      </c>
      <c r="D55" s="1" t="s">
        <v>16</v>
      </c>
      <c r="E55" s="1">
        <v>0</v>
      </c>
      <c r="F55" s="1" t="s">
        <v>16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>
        <v>0</v>
      </c>
      <c r="O55" s="1">
        <v>0</v>
      </c>
      <c r="P55" s="1">
        <v>0</v>
      </c>
      <c r="Q55" s="1">
        <v>0</v>
      </c>
    </row>
    <row r="56" spans="1:17" x14ac:dyDescent="0.35">
      <c r="A56" s="1">
        <v>2020</v>
      </c>
      <c r="B56" s="1" t="s">
        <v>24</v>
      </c>
      <c r="C56" s="1">
        <v>679900.44</v>
      </c>
      <c r="D56" s="1" t="s">
        <v>16</v>
      </c>
      <c r="E56" s="1">
        <v>0</v>
      </c>
      <c r="F56" s="1" t="s">
        <v>16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>
        <v>0</v>
      </c>
      <c r="O56" s="1">
        <v>0</v>
      </c>
      <c r="P56" s="1">
        <v>0</v>
      </c>
      <c r="Q56" s="1">
        <v>0</v>
      </c>
    </row>
    <row r="57" spans="1:17" x14ac:dyDescent="0.35">
      <c r="A57" s="1">
        <v>2021</v>
      </c>
      <c r="B57" s="1" t="s">
        <v>24</v>
      </c>
      <c r="C57" s="1">
        <v>679900.44</v>
      </c>
      <c r="D57" s="1" t="s">
        <v>16</v>
      </c>
      <c r="E57" s="1">
        <v>0</v>
      </c>
      <c r="F57" s="1" t="s">
        <v>16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>
        <v>0</v>
      </c>
      <c r="O57" s="1">
        <v>0</v>
      </c>
      <c r="P57" s="1">
        <v>0</v>
      </c>
      <c r="Q57" s="1">
        <v>0</v>
      </c>
    </row>
    <row r="58" spans="1:17" x14ac:dyDescent="0.35">
      <c r="A58" s="1">
        <v>2022</v>
      </c>
      <c r="B58" s="1" t="s">
        <v>24</v>
      </c>
      <c r="C58" s="1">
        <v>679900.44</v>
      </c>
      <c r="D58" s="1" t="s">
        <v>16</v>
      </c>
      <c r="E58" s="1">
        <v>0</v>
      </c>
      <c r="F58" s="1" t="s">
        <v>16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>
        <v>0</v>
      </c>
      <c r="O58" s="1">
        <v>0</v>
      </c>
      <c r="P58" s="1">
        <v>0</v>
      </c>
      <c r="Q58" s="1">
        <v>0</v>
      </c>
    </row>
    <row r="65" spans="2:5" x14ac:dyDescent="0.35">
      <c r="B65" s="1" t="s">
        <v>25</v>
      </c>
      <c r="C65" s="1">
        <f>AVERAGE(O7:O17)</f>
        <v>5.1389883974143659E-5</v>
      </c>
      <c r="D65" s="1">
        <f>AVERAGE(P7:P17)</f>
        <v>2.605739446649297E-6</v>
      </c>
      <c r="E65" s="1">
        <f>AVERAGE(Q7:Q17)</f>
        <v>2.3510431097587642E-7</v>
      </c>
    </row>
    <row r="66" spans="2:5" x14ac:dyDescent="0.35">
      <c r="B66" s="1" t="s">
        <v>14</v>
      </c>
      <c r="C66" s="1">
        <f>AVERAGE(O27:O37)</f>
        <v>5.2363870072822431E-5</v>
      </c>
      <c r="D66" s="1">
        <f>AVERAGE(P27:P37)</f>
        <v>8.6030454665097099E-7</v>
      </c>
      <c r="E66" s="1">
        <f>AVERAGE(Q27:Q37)</f>
        <v>5.1618272799058253E-7</v>
      </c>
    </row>
    <row r="67" spans="2:5" x14ac:dyDescent="0.35">
      <c r="B67" s="1" t="s">
        <v>24</v>
      </c>
      <c r="C67" s="1">
        <f>AVERAGE(O46:O56)</f>
        <v>2.7276720905570446E-5</v>
      </c>
      <c r="D67" s="1">
        <f>AVERAGE(P46:P56)</f>
        <v>5.3483766481510678E-7</v>
      </c>
      <c r="E67" s="1">
        <f>AVERAGE(Q46:Q56)</f>
        <v>4.0112824861133014E-7</v>
      </c>
    </row>
    <row r="69" spans="2:5" x14ac:dyDescent="0.35">
      <c r="C69" s="1">
        <f>SUM(C65:C67)/3</f>
        <v>4.3676824984178844E-5</v>
      </c>
      <c r="D69" s="1">
        <f>SUM(D65:D67)/3</f>
        <v>1.3336272193717915E-6</v>
      </c>
      <c r="E69" s="1">
        <f>SUM(E65:E67)/3</f>
        <v>3.8413842919259641E-7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(tonnes) - Toothfish - TO</vt:lpstr>
      <vt:lpstr>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Murphy</dc:creator>
  <cp:lastModifiedBy>Kieran Murphy</cp:lastModifiedBy>
  <dcterms:created xsi:type="dcterms:W3CDTF">2023-07-29T05:04:17Z</dcterms:created>
  <dcterms:modified xsi:type="dcterms:W3CDTF">2026-08-14T05:26:44Z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2026-08-11T00:49:52Z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c50dd285-14e1-40c9-b292-3b89d6bc90f7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